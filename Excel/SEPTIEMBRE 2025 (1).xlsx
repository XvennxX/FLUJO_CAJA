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52336396\Desktop\LEA03647\MIS DOCUMENTOS\CUADRE DIARIO\2025\"/>
    </mc:Choice>
  </mc:AlternateContent>
  <bookViews>
    <workbookView xWindow="0" yWindow="0" windowWidth="23040" windowHeight="10632" tabRatio="955" firstSheet="3" activeTab="22"/>
  </bookViews>
  <sheets>
    <sheet name="SEP 01" sheetId="1" r:id="rId1"/>
    <sheet name="SEP 02" sheetId="2" r:id="rId2"/>
    <sheet name="SEP 03" sheetId="3" r:id="rId3"/>
    <sheet name="SEP 04" sheetId="4" r:id="rId4"/>
    <sheet name="SEP 05" sheetId="5" r:id="rId5"/>
    <sheet name="SEP 08" sheetId="6" r:id="rId6"/>
    <sheet name="SEP 09" sheetId="7" r:id="rId7"/>
    <sheet name="SEP 10" sheetId="8" r:id="rId8"/>
    <sheet name="SEP 11" sheetId="9" r:id="rId9"/>
    <sheet name="SEP 12" sheetId="10" r:id="rId10"/>
    <sheet name="SEP 15" sheetId="11" r:id="rId11"/>
    <sheet name="SEP 16" sheetId="12" r:id="rId12"/>
    <sheet name="SEP 17" sheetId="13" r:id="rId13"/>
    <sheet name="SEP 18" sheetId="14" r:id="rId14"/>
    <sheet name="SEP 19" sheetId="15" r:id="rId15"/>
    <sheet name="SEP 22" sheetId="16" r:id="rId16"/>
    <sheet name="SEP 23" sheetId="17" r:id="rId17"/>
    <sheet name="SEP 24" sheetId="18" r:id="rId18"/>
    <sheet name="SEP 25" sheetId="19" r:id="rId19"/>
    <sheet name="SEP 26" sheetId="20" r:id="rId20"/>
    <sheet name="SEP 29" sheetId="21" r:id="rId21"/>
    <sheet name="SEP 30" sheetId="22" r:id="rId22"/>
    <sheet name="CONSOLIDADO" sheetId="23" r:id="rId23"/>
  </sheets>
  <externalReferences>
    <externalReference r:id="rId24"/>
  </externalReferences>
  <definedNames>
    <definedName name="_xlnm._FilterDatabase" localSheetId="22" hidden="1">CONSOLIDADO!$A$1:$CR$84</definedName>
    <definedName name="_xlnm._FilterDatabase" localSheetId="0" hidden="1">'SEP 01'!$A$1:$CR$84</definedName>
    <definedName name="_xlnm._FilterDatabase" localSheetId="1" hidden="1">'SEP 02'!$A$1:$CR$84</definedName>
    <definedName name="_xlnm._FilterDatabase" localSheetId="2" hidden="1">'SEP 03'!$A$1:$CR$84</definedName>
    <definedName name="_xlnm._FilterDatabase" localSheetId="3" hidden="1">'SEP 04'!$A$1:$CR$84</definedName>
    <definedName name="_xlnm._FilterDatabase" localSheetId="4" hidden="1">'SEP 05'!$A$1:$CR$84</definedName>
    <definedName name="_xlnm._FilterDatabase" localSheetId="5" hidden="1">'SEP 08'!$A$1:$CR$84</definedName>
    <definedName name="_xlnm._FilterDatabase" localSheetId="6" hidden="1">'SEP 09'!$A$1:$CR$84</definedName>
    <definedName name="_xlnm._FilterDatabase" localSheetId="7" hidden="1">'SEP 10'!$A$1:$CR$84</definedName>
    <definedName name="_xlnm._FilterDatabase" localSheetId="8" hidden="1">'SEP 11'!$A$1:$CR$84</definedName>
    <definedName name="_xlnm._FilterDatabase" localSheetId="9" hidden="1">'SEP 12'!$A$1:$CR$84</definedName>
    <definedName name="_xlnm._FilterDatabase" localSheetId="10" hidden="1">'SEP 15'!$A$1:$CR$84</definedName>
    <definedName name="_xlnm._FilterDatabase" localSheetId="11" hidden="1">'SEP 16'!$A$1:$CR$84</definedName>
    <definedName name="_xlnm._FilterDatabase" localSheetId="12" hidden="1">'SEP 17'!$A$1:$CR$84</definedName>
    <definedName name="_xlnm._FilterDatabase" localSheetId="13" hidden="1">'SEP 18'!$A$1:$CR$84</definedName>
    <definedName name="_xlnm._FilterDatabase" localSheetId="14" hidden="1">'SEP 19'!$A$1:$CR$84</definedName>
    <definedName name="_xlnm._FilterDatabase" localSheetId="15" hidden="1">'SEP 22'!$A$1:$CR$84</definedName>
    <definedName name="_xlnm._FilterDatabase" localSheetId="16" hidden="1">'SEP 23'!$A$1:$CR$84</definedName>
    <definedName name="_xlnm._FilterDatabase" localSheetId="17" hidden="1">'SEP 24'!$A$1:$CR$84</definedName>
    <definedName name="_xlnm._FilterDatabase" localSheetId="18" hidden="1">'SEP 25'!$A$1:$CR$84</definedName>
    <definedName name="_xlnm._FilterDatabase" localSheetId="19" hidden="1">'SEP 26'!$A$1:$CR$84</definedName>
    <definedName name="_xlnm._FilterDatabase" localSheetId="20" hidden="1">'SEP 29'!$A$1:$CR$84</definedName>
    <definedName name="_xlnm._FilterDatabase" localSheetId="21" hidden="1">'SEP 30'!$A$1:$CR$84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53" i="23" l="1"/>
  <c r="AH53" i="23"/>
  <c r="AH54" i="23" s="1"/>
  <c r="F53" i="23"/>
  <c r="D53" i="23"/>
  <c r="D54" i="23" s="1"/>
  <c r="E57" i="23"/>
  <c r="G57" i="23"/>
  <c r="H57" i="23"/>
  <c r="I57" i="23"/>
  <c r="J57" i="23"/>
  <c r="K57" i="23"/>
  <c r="L57" i="23"/>
  <c r="M57" i="23"/>
  <c r="N57" i="23"/>
  <c r="O57" i="23"/>
  <c r="P57" i="23"/>
  <c r="Q57" i="23"/>
  <c r="R57" i="23"/>
  <c r="S57" i="23"/>
  <c r="T57" i="23"/>
  <c r="U57" i="23"/>
  <c r="V57" i="23"/>
  <c r="W57" i="23"/>
  <c r="X57" i="23"/>
  <c r="Y57" i="23"/>
  <c r="Z57" i="23"/>
  <c r="AA57" i="23"/>
  <c r="AB57" i="23"/>
  <c r="AC57" i="23"/>
  <c r="AD57" i="23"/>
  <c r="AE57" i="23"/>
  <c r="AF57" i="23"/>
  <c r="AG57" i="23"/>
  <c r="AJ57" i="23"/>
  <c r="AK57" i="23"/>
  <c r="AL57" i="23"/>
  <c r="AM57" i="23"/>
  <c r="AN57" i="23"/>
  <c r="AO57" i="23"/>
  <c r="AP57" i="23"/>
  <c r="AQ57" i="23"/>
  <c r="AR57" i="23"/>
  <c r="AS57" i="23"/>
  <c r="AT57" i="23"/>
  <c r="AU57" i="23"/>
  <c r="AV57" i="23"/>
  <c r="AW57" i="23"/>
  <c r="AX57" i="23"/>
  <c r="AY57" i="23"/>
  <c r="AZ57" i="23"/>
  <c r="BA57" i="23"/>
  <c r="BB57" i="23"/>
  <c r="BC57" i="23"/>
  <c r="BD57" i="23"/>
  <c r="BE57" i="23"/>
  <c r="BF57" i="23"/>
  <c r="BG57" i="23"/>
  <c r="BH57" i="23"/>
  <c r="BI57" i="23"/>
  <c r="BJ57" i="23"/>
  <c r="BK57" i="23"/>
  <c r="BL57" i="23"/>
  <c r="BM57" i="23"/>
  <c r="BN57" i="23"/>
  <c r="BO57" i="23"/>
  <c r="BP57" i="23"/>
  <c r="BQ57" i="23"/>
  <c r="BR57" i="23"/>
  <c r="BS57" i="23"/>
  <c r="BT57" i="23"/>
  <c r="BU57" i="23"/>
  <c r="BV57" i="23"/>
  <c r="BW57" i="23"/>
  <c r="BX57" i="23"/>
  <c r="BY57" i="23"/>
  <c r="BZ57" i="23"/>
  <c r="CA57" i="23"/>
  <c r="CB57" i="23"/>
  <c r="CC57" i="23"/>
  <c r="CD57" i="23"/>
  <c r="CE57" i="23"/>
  <c r="CF57" i="23"/>
  <c r="CG57" i="23"/>
  <c r="CH57" i="23"/>
  <c r="CI57" i="23"/>
  <c r="CJ57" i="23"/>
  <c r="CK57" i="23"/>
  <c r="CL57" i="23"/>
  <c r="CM57" i="23"/>
  <c r="CN57" i="23"/>
  <c r="CO57" i="23"/>
  <c r="CP57" i="23"/>
  <c r="CQ57" i="23"/>
  <c r="CR57" i="23"/>
  <c r="CS57" i="23"/>
  <c r="CT57" i="23"/>
  <c r="CU57" i="23"/>
  <c r="CV57" i="23"/>
  <c r="E5" i="23"/>
  <c r="F5" i="23"/>
  <c r="CW5" i="23" s="1"/>
  <c r="G5" i="23"/>
  <c r="H5" i="23"/>
  <c r="I5" i="23"/>
  <c r="J5" i="23"/>
  <c r="K5" i="23"/>
  <c r="L5" i="23"/>
  <c r="L8" i="23" s="1"/>
  <c r="M5" i="23"/>
  <c r="N5" i="23"/>
  <c r="O5" i="23"/>
  <c r="O8" i="23" s="1"/>
  <c r="P5" i="23"/>
  <c r="P8" i="23" s="1"/>
  <c r="Q5" i="23"/>
  <c r="R5" i="23"/>
  <c r="S5" i="23"/>
  <c r="T5" i="23"/>
  <c r="U5" i="23"/>
  <c r="V5" i="23"/>
  <c r="W5" i="23"/>
  <c r="W8" i="23" s="1"/>
  <c r="X5" i="23"/>
  <c r="X8" i="23" s="1"/>
  <c r="Y5" i="23"/>
  <c r="Z5" i="23"/>
  <c r="AA5" i="23"/>
  <c r="AA8" i="23" s="1"/>
  <c r="AB5" i="23"/>
  <c r="AB8" i="23" s="1"/>
  <c r="AC5" i="23"/>
  <c r="AD5" i="23"/>
  <c r="AE5" i="23"/>
  <c r="AF5" i="23"/>
  <c r="AG5" i="23"/>
  <c r="AH5" i="23"/>
  <c r="AI5" i="23"/>
  <c r="AJ5" i="23"/>
  <c r="AJ8" i="23" s="1"/>
  <c r="AK5" i="23"/>
  <c r="AL5" i="23"/>
  <c r="AM5" i="23"/>
  <c r="AM8" i="23" s="1"/>
  <c r="AN5" i="23"/>
  <c r="AN8" i="23" s="1"/>
  <c r="AO5" i="23"/>
  <c r="AP5" i="23"/>
  <c r="AQ5" i="23"/>
  <c r="AR5" i="23"/>
  <c r="AS5" i="23"/>
  <c r="G96" i="23" s="1"/>
  <c r="AT5" i="23"/>
  <c r="AU5" i="23"/>
  <c r="AV5" i="23"/>
  <c r="AV8" i="23" s="1"/>
  <c r="AW5" i="23"/>
  <c r="AX5" i="23"/>
  <c r="AY5" i="23"/>
  <c r="G106" i="23" s="1"/>
  <c r="AZ5" i="23"/>
  <c r="AZ8" i="23" s="1"/>
  <c r="BA5" i="23"/>
  <c r="BB5" i="23"/>
  <c r="BC5" i="23"/>
  <c r="BD5" i="23"/>
  <c r="BE5" i="23"/>
  <c r="G93" i="23" s="1"/>
  <c r="BF5" i="23"/>
  <c r="BG5" i="23"/>
  <c r="G105" i="23" s="1"/>
  <c r="BH5" i="23"/>
  <c r="G91" i="23" s="1"/>
  <c r="BI5" i="23"/>
  <c r="BJ5" i="23"/>
  <c r="BK5" i="23"/>
  <c r="BK8" i="23" s="1"/>
  <c r="BL5" i="23"/>
  <c r="BL8" i="23" s="1"/>
  <c r="BM5" i="23"/>
  <c r="BN5" i="23"/>
  <c r="BO5" i="23"/>
  <c r="BP5" i="23"/>
  <c r="BQ5" i="23"/>
  <c r="BQ8" i="23" s="1"/>
  <c r="BR5" i="23"/>
  <c r="BS5" i="23"/>
  <c r="BT5" i="23"/>
  <c r="BT8" i="23" s="1"/>
  <c r="BU5" i="23"/>
  <c r="BV5" i="23"/>
  <c r="BW5" i="23"/>
  <c r="BW8" i="23" s="1"/>
  <c r="BX5" i="23"/>
  <c r="BX8" i="23" s="1"/>
  <c r="BY5" i="23"/>
  <c r="BZ5" i="23"/>
  <c r="CA5" i="23"/>
  <c r="CB5" i="23"/>
  <c r="CC5" i="23"/>
  <c r="CC8" i="23" s="1"/>
  <c r="CD5" i="23"/>
  <c r="CE5" i="23"/>
  <c r="CF5" i="23"/>
  <c r="CF8" i="23" s="1"/>
  <c r="CG5" i="23"/>
  <c r="CH5" i="23"/>
  <c r="CI5" i="23"/>
  <c r="CI8" i="23" s="1"/>
  <c r="CJ5" i="23"/>
  <c r="CJ8" i="23" s="1"/>
  <c r="CK5" i="23"/>
  <c r="CL5" i="23"/>
  <c r="CM5" i="23"/>
  <c r="CN5" i="23"/>
  <c r="CO5" i="23"/>
  <c r="CO8" i="23" s="1"/>
  <c r="CP5" i="23"/>
  <c r="CQ5" i="23"/>
  <c r="CR5" i="23"/>
  <c r="CR8" i="23" s="1"/>
  <c r="CS5" i="23"/>
  <c r="CT5" i="23"/>
  <c r="CU5" i="23"/>
  <c r="CU8" i="23" s="1"/>
  <c r="CV5" i="23"/>
  <c r="CV8" i="23" s="1"/>
  <c r="D5" i="23"/>
  <c r="J106" i="23"/>
  <c r="I106" i="23"/>
  <c r="H106" i="23"/>
  <c r="K105" i="23"/>
  <c r="J105" i="23"/>
  <c r="I105" i="23"/>
  <c r="H105" i="23"/>
  <c r="K104" i="23"/>
  <c r="J104" i="23"/>
  <c r="I104" i="23"/>
  <c r="H104" i="23"/>
  <c r="K103" i="23"/>
  <c r="J103" i="23"/>
  <c r="I103" i="23"/>
  <c r="H103" i="23"/>
  <c r="K102" i="23"/>
  <c r="J102" i="23"/>
  <c r="I102" i="23"/>
  <c r="H102" i="23"/>
  <c r="K101" i="23"/>
  <c r="J101" i="23"/>
  <c r="I101" i="23"/>
  <c r="H101" i="23"/>
  <c r="K100" i="23"/>
  <c r="J100" i="23"/>
  <c r="I100" i="23"/>
  <c r="H100" i="23"/>
  <c r="K99" i="23"/>
  <c r="J99" i="23"/>
  <c r="I99" i="23"/>
  <c r="H99" i="23"/>
  <c r="K98" i="23"/>
  <c r="J98" i="23"/>
  <c r="I98" i="23"/>
  <c r="H98" i="23"/>
  <c r="K97" i="23"/>
  <c r="J97" i="23"/>
  <c r="I97" i="23"/>
  <c r="H97" i="23"/>
  <c r="K96" i="23"/>
  <c r="J96" i="23"/>
  <c r="I96" i="23"/>
  <c r="H96" i="23"/>
  <c r="K95" i="23"/>
  <c r="J95" i="23"/>
  <c r="I95" i="23"/>
  <c r="H95" i="23"/>
  <c r="J94" i="23"/>
  <c r="I94" i="23"/>
  <c r="H94" i="23"/>
  <c r="K93" i="23"/>
  <c r="J93" i="23"/>
  <c r="I93" i="23"/>
  <c r="H93" i="23"/>
  <c r="K92" i="23"/>
  <c r="J92" i="23"/>
  <c r="I92" i="23"/>
  <c r="H92" i="23"/>
  <c r="K91" i="23"/>
  <c r="J91" i="23"/>
  <c r="I91" i="23"/>
  <c r="H91" i="23"/>
  <c r="K90" i="23"/>
  <c r="J90" i="23"/>
  <c r="I90" i="23"/>
  <c r="H90" i="23"/>
  <c r="C84" i="23"/>
  <c r="C83" i="23"/>
  <c r="C82" i="23"/>
  <c r="CV54" i="23"/>
  <c r="CU54" i="23"/>
  <c r="CT54" i="23"/>
  <c r="CS54" i="23"/>
  <c r="CR54" i="23"/>
  <c r="BY54" i="23"/>
  <c r="BA54" i="23"/>
  <c r="AJ54" i="23"/>
  <c r="AG54" i="23"/>
  <c r="X54" i="23"/>
  <c r="CR53" i="23"/>
  <c r="CQ53" i="23"/>
  <c r="CQ54" i="23" s="1"/>
  <c r="CP53" i="23"/>
  <c r="CP54" i="23" s="1"/>
  <c r="CO53" i="23"/>
  <c r="CO54" i="23" s="1"/>
  <c r="CN53" i="23"/>
  <c r="CN54" i="23" s="1"/>
  <c r="CM53" i="23"/>
  <c r="CM54" i="23" s="1"/>
  <c r="CL53" i="23"/>
  <c r="CL54" i="23" s="1"/>
  <c r="CK53" i="23"/>
  <c r="CK54" i="23" s="1"/>
  <c r="CJ53" i="23"/>
  <c r="CJ54" i="23" s="1"/>
  <c r="CI53" i="23"/>
  <c r="CI54" i="23" s="1"/>
  <c r="CH53" i="23"/>
  <c r="CH54" i="23" s="1"/>
  <c r="CG53" i="23"/>
  <c r="CG54" i="23" s="1"/>
  <c r="CF53" i="23"/>
  <c r="CF54" i="23" s="1"/>
  <c r="CE53" i="23"/>
  <c r="CE54" i="23" s="1"/>
  <c r="CD53" i="23"/>
  <c r="CD54" i="23" s="1"/>
  <c r="CC53" i="23"/>
  <c r="CC54" i="23" s="1"/>
  <c r="CB53" i="23"/>
  <c r="CB54" i="23" s="1"/>
  <c r="CA53" i="23"/>
  <c r="CA54" i="23" s="1"/>
  <c r="BZ53" i="23"/>
  <c r="BZ54" i="23" s="1"/>
  <c r="BY53" i="23"/>
  <c r="BX53" i="23"/>
  <c r="BX54" i="23" s="1"/>
  <c r="BW53" i="23"/>
  <c r="BW54" i="23" s="1"/>
  <c r="BV53" i="23"/>
  <c r="BV54" i="23" s="1"/>
  <c r="BU53" i="23"/>
  <c r="BU54" i="23" s="1"/>
  <c r="BT53" i="23"/>
  <c r="BT54" i="23" s="1"/>
  <c r="BS53" i="23"/>
  <c r="BS54" i="23" s="1"/>
  <c r="BR53" i="23"/>
  <c r="BR54" i="23" s="1"/>
  <c r="BQ53" i="23"/>
  <c r="BQ54" i="23" s="1"/>
  <c r="BP53" i="23"/>
  <c r="BP54" i="23" s="1"/>
  <c r="BO53" i="23"/>
  <c r="BO54" i="23" s="1"/>
  <c r="BN53" i="23"/>
  <c r="BN54" i="23" s="1"/>
  <c r="BM53" i="23"/>
  <c r="BM54" i="23" s="1"/>
  <c r="BL53" i="23"/>
  <c r="BL54" i="23" s="1"/>
  <c r="BK53" i="23"/>
  <c r="BK54" i="23" s="1"/>
  <c r="BJ53" i="23"/>
  <c r="L103" i="23" s="1"/>
  <c r="BI53" i="23"/>
  <c r="BG53" i="23"/>
  <c r="L105" i="23" s="1"/>
  <c r="BF53" i="23"/>
  <c r="BF54" i="23" s="1"/>
  <c r="BE53" i="23"/>
  <c r="L93" i="23" s="1"/>
  <c r="BD53" i="23"/>
  <c r="BC53" i="23"/>
  <c r="BC54" i="23" s="1"/>
  <c r="BB53" i="23"/>
  <c r="L99" i="23" s="1"/>
  <c r="BA53" i="23"/>
  <c r="AZ53" i="23"/>
  <c r="AZ54" i="23" s="1"/>
  <c r="AY53" i="23"/>
  <c r="L106" i="23" s="1"/>
  <c r="AX53" i="23"/>
  <c r="AX54" i="23" s="1"/>
  <c r="AW53" i="23"/>
  <c r="AW54" i="23" s="1"/>
  <c r="AV53" i="23"/>
  <c r="AV54" i="23" s="1"/>
  <c r="AU53" i="23"/>
  <c r="L102" i="23" s="1"/>
  <c r="AT53" i="23"/>
  <c r="AT54" i="23" s="1"/>
  <c r="AS53" i="23"/>
  <c r="L96" i="23" s="1"/>
  <c r="AR53" i="23"/>
  <c r="L90" i="23" s="1"/>
  <c r="AQ53" i="23"/>
  <c r="AQ54" i="23" s="1"/>
  <c r="AP53" i="23"/>
  <c r="AP54" i="23" s="1"/>
  <c r="AO53" i="23"/>
  <c r="AO54" i="23" s="1"/>
  <c r="AN53" i="23"/>
  <c r="AN54" i="23" s="1"/>
  <c r="AM53" i="23"/>
  <c r="AM54" i="23" s="1"/>
  <c r="AL53" i="23"/>
  <c r="AL54" i="23" s="1"/>
  <c r="AK53" i="23"/>
  <c r="AK54" i="23" s="1"/>
  <c r="AJ53" i="23"/>
  <c r="AI54" i="23"/>
  <c r="AG53" i="23"/>
  <c r="AF53" i="23"/>
  <c r="AF54" i="23" s="1"/>
  <c r="AE53" i="23"/>
  <c r="AE54" i="23" s="1"/>
  <c r="AD53" i="23"/>
  <c r="AD54" i="23" s="1"/>
  <c r="AC53" i="23"/>
  <c r="AC54" i="23" s="1"/>
  <c r="AB53" i="23"/>
  <c r="AB54" i="23" s="1"/>
  <c r="AA53" i="23"/>
  <c r="AA54" i="23" s="1"/>
  <c r="Z53" i="23"/>
  <c r="Z54" i="23" s="1"/>
  <c r="Y53" i="23"/>
  <c r="Y54" i="23" s="1"/>
  <c r="X53" i="23"/>
  <c r="W53" i="23"/>
  <c r="V53" i="23"/>
  <c r="V54" i="23" s="1"/>
  <c r="U53" i="23"/>
  <c r="U54" i="23" s="1"/>
  <c r="T53" i="23"/>
  <c r="T54" i="23" s="1"/>
  <c r="S53" i="23"/>
  <c r="S54" i="23" s="1"/>
  <c r="R53" i="23"/>
  <c r="R54" i="23" s="1"/>
  <c r="Q53" i="23"/>
  <c r="P53" i="23"/>
  <c r="P54" i="23" s="1"/>
  <c r="O53" i="23"/>
  <c r="O54" i="23" s="1"/>
  <c r="N53" i="23"/>
  <c r="N54" i="23" s="1"/>
  <c r="M53" i="23"/>
  <c r="M54" i="23" s="1"/>
  <c r="K53" i="23"/>
  <c r="K54" i="23" s="1"/>
  <c r="J53" i="23"/>
  <c r="J54" i="23" s="1"/>
  <c r="I53" i="23"/>
  <c r="I54" i="23" s="1"/>
  <c r="H53" i="23"/>
  <c r="H54" i="23" s="1"/>
  <c r="G53" i="23"/>
  <c r="G54" i="23" s="1"/>
  <c r="F54" i="23"/>
  <c r="E53" i="23"/>
  <c r="E54" i="23" s="1"/>
  <c r="AY54" i="23"/>
  <c r="CW51" i="23"/>
  <c r="CW50" i="23"/>
  <c r="L97" i="23"/>
  <c r="L104" i="23"/>
  <c r="L92" i="23"/>
  <c r="CW49" i="23"/>
  <c r="CW48" i="23"/>
  <c r="CW47" i="23"/>
  <c r="CW46" i="23"/>
  <c r="CW45" i="23"/>
  <c r="CW44" i="23"/>
  <c r="D72" i="23" s="1"/>
  <c r="CW43" i="23"/>
  <c r="D84" i="23" s="1"/>
  <c r="CW42" i="23"/>
  <c r="D83" i="23" s="1"/>
  <c r="CW41" i="23"/>
  <c r="D71" i="23" s="1"/>
  <c r="CW40" i="23"/>
  <c r="D82" i="23" s="1"/>
  <c r="CW39" i="23"/>
  <c r="D70" i="23" s="1"/>
  <c r="Q54" i="23"/>
  <c r="CW37" i="23"/>
  <c r="D69" i="23" s="1"/>
  <c r="CW36" i="23"/>
  <c r="D80" i="23" s="1"/>
  <c r="CW35" i="23"/>
  <c r="CW34" i="23"/>
  <c r="D68" i="23" s="1"/>
  <c r="CW33" i="23"/>
  <c r="D79" i="23" s="1"/>
  <c r="CW32" i="23"/>
  <c r="D67" i="23" s="1"/>
  <c r="CW31" i="23"/>
  <c r="D66" i="23" s="1"/>
  <c r="CW30" i="23"/>
  <c r="D78" i="23" s="1"/>
  <c r="CW28" i="23"/>
  <c r="D77" i="23" s="1"/>
  <c r="CW27" i="23"/>
  <c r="CW26" i="23"/>
  <c r="CW25" i="23"/>
  <c r="CW24" i="23"/>
  <c r="CW23" i="23"/>
  <c r="CW22" i="23"/>
  <c r="D65" i="23" s="1"/>
  <c r="CW21" i="23"/>
  <c r="CW20" i="23"/>
  <c r="CW19" i="23"/>
  <c r="CW18" i="23"/>
  <c r="CW17" i="23"/>
  <c r="D74" i="23" s="1"/>
  <c r="CW16" i="23"/>
  <c r="D76" i="23" s="1"/>
  <c r="CW15" i="23"/>
  <c r="CW14" i="23"/>
  <c r="CW13" i="23"/>
  <c r="CW12" i="23"/>
  <c r="D64" i="23" s="1"/>
  <c r="CW11" i="23"/>
  <c r="D62" i="23" s="1"/>
  <c r="CW10" i="23"/>
  <c r="CW9" i="23"/>
  <c r="CT8" i="23"/>
  <c r="CT55" i="23" s="1"/>
  <c r="CS8" i="23"/>
  <c r="CQ8" i="23"/>
  <c r="CP8" i="23"/>
  <c r="CN8" i="23"/>
  <c r="CM8" i="23"/>
  <c r="CM55" i="23" s="1"/>
  <c r="CL8" i="23"/>
  <c r="CK8" i="23"/>
  <c r="CH8" i="23"/>
  <c r="CG8" i="23"/>
  <c r="CG55" i="23" s="1"/>
  <c r="CE8" i="23"/>
  <c r="CD8" i="23"/>
  <c r="CB8" i="23"/>
  <c r="CA8" i="23"/>
  <c r="CA55" i="23" s="1"/>
  <c r="BZ8" i="23"/>
  <c r="BY8" i="23"/>
  <c r="BV8" i="23"/>
  <c r="BU8" i="23"/>
  <c r="BU55" i="23" s="1"/>
  <c r="BS8" i="23"/>
  <c r="BR8" i="23"/>
  <c r="BP8" i="23"/>
  <c r="BO8" i="23"/>
  <c r="BO55" i="23" s="1"/>
  <c r="BN8" i="23"/>
  <c r="BM8" i="23"/>
  <c r="G103" i="23"/>
  <c r="BI8" i="23"/>
  <c r="BG8" i="23"/>
  <c r="BF8" i="23"/>
  <c r="G104" i="23"/>
  <c r="G98" i="23"/>
  <c r="G99" i="23"/>
  <c r="BA8" i="23"/>
  <c r="G101" i="23"/>
  <c r="AW8" i="23"/>
  <c r="G102" i="23"/>
  <c r="G95" i="23"/>
  <c r="G90" i="23"/>
  <c r="AQ8" i="23"/>
  <c r="AP8" i="23"/>
  <c r="AO8" i="23"/>
  <c r="AL8" i="23"/>
  <c r="AK8" i="23"/>
  <c r="AI8" i="23"/>
  <c r="AH8" i="23"/>
  <c r="AG8" i="23"/>
  <c r="AF8" i="23"/>
  <c r="AF55" i="23" s="1"/>
  <c r="G80" i="23" s="1"/>
  <c r="AE8" i="23"/>
  <c r="AE55" i="23" s="1"/>
  <c r="AD8" i="23"/>
  <c r="AC8" i="23"/>
  <c r="Z8" i="23"/>
  <c r="Y8" i="23"/>
  <c r="V8" i="23"/>
  <c r="U8" i="23"/>
  <c r="T8" i="23"/>
  <c r="S8" i="23"/>
  <c r="R8" i="23"/>
  <c r="Q8" i="23"/>
  <c r="N8" i="23"/>
  <c r="M8" i="23"/>
  <c r="K8" i="23"/>
  <c r="K55" i="23" s="1"/>
  <c r="G72" i="23" s="1"/>
  <c r="J8" i="23"/>
  <c r="I8" i="23"/>
  <c r="H8" i="23"/>
  <c r="H55" i="23" s="1"/>
  <c r="G8" i="23"/>
  <c r="G55" i="23" s="1"/>
  <c r="F8" i="23"/>
  <c r="D8" i="23"/>
  <c r="CV6" i="22"/>
  <c r="CT6" i="22"/>
  <c r="CR6" i="22"/>
  <c r="CI6" i="22"/>
  <c r="CA6" i="22"/>
  <c r="BZ6" i="22"/>
  <c r="BY6" i="22"/>
  <c r="AZ55" i="23" l="1"/>
  <c r="AN55" i="23"/>
  <c r="AB55" i="23"/>
  <c r="G78" i="23" s="1"/>
  <c r="P55" i="23"/>
  <c r="G62" i="23" s="1"/>
  <c r="CU55" i="23"/>
  <c r="AM55" i="23"/>
  <c r="AA55" i="23"/>
  <c r="O55" i="23"/>
  <c r="J109" i="23"/>
  <c r="BB54" i="23"/>
  <c r="K109" i="23"/>
  <c r="CR55" i="23"/>
  <c r="BT55" i="23"/>
  <c r="AJ55" i="23"/>
  <c r="G82" i="23" s="1"/>
  <c r="X55" i="23"/>
  <c r="G69" i="23" s="1"/>
  <c r="H108" i="23"/>
  <c r="M99" i="23"/>
  <c r="CL55" i="23"/>
  <c r="I108" i="23"/>
  <c r="R55" i="23"/>
  <c r="G63" i="23" s="1"/>
  <c r="CN55" i="23"/>
  <c r="AP55" i="23"/>
  <c r="BZ55" i="23"/>
  <c r="AQ55" i="23"/>
  <c r="CS55" i="23"/>
  <c r="BE8" i="23"/>
  <c r="AW55" i="23"/>
  <c r="Z55" i="23"/>
  <c r="G77" i="23" s="1"/>
  <c r="BK55" i="23"/>
  <c r="BW55" i="23"/>
  <c r="L94" i="23"/>
  <c r="BX55" i="23"/>
  <c r="CJ55" i="23"/>
  <c r="CV55" i="23"/>
  <c r="AS54" i="23"/>
  <c r="H110" i="23"/>
  <c r="AC55" i="23"/>
  <c r="AO55" i="23"/>
  <c r="BA55" i="23"/>
  <c r="BM55" i="23"/>
  <c r="BY55" i="23"/>
  <c r="CK55" i="23"/>
  <c r="I109" i="23"/>
  <c r="BE54" i="23"/>
  <c r="J108" i="23"/>
  <c r="U55" i="23"/>
  <c r="M96" i="23"/>
  <c r="CC55" i="23"/>
  <c r="CO55" i="23"/>
  <c r="J55" i="23"/>
  <c r="V55" i="23"/>
  <c r="G68" i="23" s="1"/>
  <c r="AH55" i="23"/>
  <c r="BF55" i="23"/>
  <c r="BR55" i="23"/>
  <c r="CD55" i="23"/>
  <c r="CP55" i="23"/>
  <c r="J110" i="23"/>
  <c r="T55" i="23"/>
  <c r="G67" i="23" s="1"/>
  <c r="M104" i="23"/>
  <c r="BP55" i="23"/>
  <c r="CB55" i="23"/>
  <c r="H109" i="23"/>
  <c r="M105" i="23"/>
  <c r="I55" i="23"/>
  <c r="AG55" i="23"/>
  <c r="BQ55" i="23"/>
  <c r="D75" i="23"/>
  <c r="I110" i="23"/>
  <c r="AI55" i="23"/>
  <c r="AI57" i="23" s="1"/>
  <c r="BS55" i="23"/>
  <c r="CE55" i="23"/>
  <c r="CQ55" i="23"/>
  <c r="D63" i="23"/>
  <c r="F55" i="23"/>
  <c r="F57" i="23" s="1"/>
  <c r="M93" i="23"/>
  <c r="S55" i="23"/>
  <c r="BN55" i="23"/>
  <c r="AV55" i="23"/>
  <c r="CF55" i="23"/>
  <c r="AK55" i="23"/>
  <c r="N55" i="23"/>
  <c r="G61" i="23" s="1"/>
  <c r="AL55" i="23"/>
  <c r="CI55" i="23"/>
  <c r="AD55" i="23"/>
  <c r="G79" i="23" s="1"/>
  <c r="M55" i="23"/>
  <c r="G74" i="23" s="1"/>
  <c r="D61" i="23"/>
  <c r="M102" i="23"/>
  <c r="G110" i="23"/>
  <c r="Y55" i="23"/>
  <c r="M103" i="23"/>
  <c r="BV55" i="23"/>
  <c r="CH55" i="23"/>
  <c r="D55" i="23"/>
  <c r="D57" i="23" s="1"/>
  <c r="BL55" i="23"/>
  <c r="Q55" i="23"/>
  <c r="M90" i="23"/>
  <c r="L110" i="23"/>
  <c r="E8" i="23"/>
  <c r="E55" i="23" s="1"/>
  <c r="BB8" i="23"/>
  <c r="CW29" i="23"/>
  <c r="BC8" i="23"/>
  <c r="BC55" i="23" s="1"/>
  <c r="CW38" i="23"/>
  <c r="D81" i="23" s="1"/>
  <c r="W54" i="23"/>
  <c r="W55" i="23" s="1"/>
  <c r="AU54" i="23"/>
  <c r="BG54" i="23"/>
  <c r="BG55" i="23" s="1"/>
  <c r="K94" i="23"/>
  <c r="K108" i="23" s="1"/>
  <c r="K106" i="23"/>
  <c r="M106" i="23" s="1"/>
  <c r="AR8" i="23"/>
  <c r="BD8" i="23"/>
  <c r="AS8" i="23"/>
  <c r="BI54" i="23"/>
  <c r="BI55" i="23" s="1"/>
  <c r="G100" i="23"/>
  <c r="L101" i="23"/>
  <c r="M101" i="23" s="1"/>
  <c r="AT8" i="23"/>
  <c r="AT55" i="23" s="1"/>
  <c r="L53" i="23"/>
  <c r="BH53" i="23"/>
  <c r="BH54" i="23" s="1"/>
  <c r="BJ54" i="23"/>
  <c r="AU8" i="23"/>
  <c r="BH8" i="23"/>
  <c r="G97" i="23"/>
  <c r="M97" i="23" s="1"/>
  <c r="L98" i="23"/>
  <c r="M98" i="23" s="1"/>
  <c r="CW52" i="23"/>
  <c r="G92" i="23"/>
  <c r="M92" i="23" s="1"/>
  <c r="L100" i="23"/>
  <c r="AX8" i="23"/>
  <c r="AX55" i="23" s="1"/>
  <c r="AY8" i="23"/>
  <c r="AY55" i="23" s="1"/>
  <c r="G94" i="23"/>
  <c r="L95" i="23"/>
  <c r="M95" i="23" s="1"/>
  <c r="BJ8" i="23"/>
  <c r="BJ55" i="23" s="1"/>
  <c r="AR54" i="23"/>
  <c r="BD54" i="23"/>
  <c r="AO6" i="22"/>
  <c r="AM6" i="22"/>
  <c r="F6" i="22"/>
  <c r="G81" i="23" l="1"/>
  <c r="AH57" i="23"/>
  <c r="BB55" i="23"/>
  <c r="BE55" i="23"/>
  <c r="M94" i="23"/>
  <c r="CW53" i="23"/>
  <c r="D73" i="23"/>
  <c r="AS55" i="23"/>
  <c r="D60" i="23"/>
  <c r="K110" i="23"/>
  <c r="L54" i="23"/>
  <c r="M100" i="23"/>
  <c r="M109" i="23" s="1"/>
  <c r="BD55" i="23"/>
  <c r="CW8" i="23"/>
  <c r="L91" i="23"/>
  <c r="AR55" i="23"/>
  <c r="G109" i="23"/>
  <c r="L109" i="23"/>
  <c r="AU55" i="23"/>
  <c r="M110" i="23"/>
  <c r="BH55" i="23"/>
  <c r="G108" i="23"/>
  <c r="AM11" i="20"/>
  <c r="AI5" i="1"/>
  <c r="L108" i="23" l="1"/>
  <c r="M91" i="23"/>
  <c r="M108" i="23" s="1"/>
  <c r="L55" i="23"/>
  <c r="CW54" i="23"/>
  <c r="AM14" i="12"/>
  <c r="G73" i="23" l="1"/>
  <c r="CW55" i="23"/>
  <c r="AI51" i="17"/>
  <c r="AI26" i="17"/>
  <c r="AI53" i="17"/>
  <c r="AH53" i="17"/>
  <c r="AH51" i="17"/>
  <c r="AI51" i="12"/>
  <c r="AI26" i="12"/>
  <c r="AI53" i="12"/>
  <c r="AH53" i="12"/>
  <c r="AH51" i="12"/>
  <c r="D76" i="15"/>
  <c r="W35" i="13"/>
  <c r="E62" i="14"/>
  <c r="E62" i="13" l="1"/>
  <c r="AK52" i="22"/>
  <c r="E62" i="12"/>
  <c r="E62" i="11"/>
  <c r="BP52" i="22" l="1"/>
  <c r="BN52" i="22"/>
  <c r="BM52" i="22"/>
  <c r="BL52" i="22"/>
  <c r="BI50" i="22"/>
  <c r="BH51" i="22"/>
  <c r="BH53" i="22"/>
  <c r="BF52" i="1" l="1"/>
  <c r="AY52" i="22"/>
  <c r="AY54" i="22"/>
  <c r="AY47" i="8"/>
  <c r="AW52" i="22"/>
  <c r="AW53" i="22"/>
  <c r="AW47" i="21"/>
  <c r="AW47" i="16"/>
  <c r="AV53" i="22"/>
  <c r="S52" i="22" l="1"/>
  <c r="I52" i="22"/>
  <c r="BD50" i="22" l="1"/>
  <c r="BA50" i="22"/>
  <c r="E29" i="22"/>
  <c r="Q25" i="20" l="1"/>
  <c r="S52" i="21" l="1"/>
  <c r="Q38" i="22"/>
  <c r="Q25" i="22" l="1"/>
  <c r="W35" i="22"/>
  <c r="L28" i="22"/>
  <c r="M48" i="22" l="1"/>
  <c r="L48" i="22"/>
  <c r="F44" i="22" l="1"/>
  <c r="F29" i="22"/>
  <c r="Q38" i="21" l="1"/>
  <c r="V35" i="22" l="1"/>
  <c r="L38" i="22" l="1"/>
  <c r="L51" i="21" l="1"/>
  <c r="F53" i="21" l="1"/>
  <c r="K106" i="22" l="1"/>
  <c r="J106" i="22"/>
  <c r="I106" i="22"/>
  <c r="H106" i="22"/>
  <c r="K105" i="22"/>
  <c r="J105" i="22"/>
  <c r="I105" i="22"/>
  <c r="H105" i="22"/>
  <c r="K104" i="22"/>
  <c r="J104" i="22"/>
  <c r="I104" i="22"/>
  <c r="H104" i="22"/>
  <c r="K103" i="22"/>
  <c r="J103" i="22"/>
  <c r="I103" i="22"/>
  <c r="H103" i="22"/>
  <c r="K102" i="22"/>
  <c r="J102" i="22"/>
  <c r="I102" i="22"/>
  <c r="H102" i="22"/>
  <c r="H110" i="22" s="1"/>
  <c r="K101" i="22"/>
  <c r="J101" i="22"/>
  <c r="I101" i="22"/>
  <c r="H101" i="22"/>
  <c r="K100" i="22"/>
  <c r="J100" i="22"/>
  <c r="I100" i="22"/>
  <c r="H100" i="22"/>
  <c r="L99" i="22"/>
  <c r="K99" i="22"/>
  <c r="J99" i="22"/>
  <c r="I99" i="22"/>
  <c r="H99" i="22"/>
  <c r="K98" i="22"/>
  <c r="J98" i="22"/>
  <c r="I98" i="22"/>
  <c r="H98" i="22"/>
  <c r="K97" i="22"/>
  <c r="J97" i="22"/>
  <c r="I97" i="22"/>
  <c r="H97" i="22"/>
  <c r="K96" i="22"/>
  <c r="J96" i="22"/>
  <c r="I96" i="22"/>
  <c r="I109" i="22" s="1"/>
  <c r="H96" i="22"/>
  <c r="K95" i="22"/>
  <c r="J95" i="22"/>
  <c r="I95" i="22"/>
  <c r="H95" i="22"/>
  <c r="K94" i="22"/>
  <c r="J94" i="22"/>
  <c r="I94" i="22"/>
  <c r="H94" i="22"/>
  <c r="K93" i="22"/>
  <c r="J93" i="22"/>
  <c r="I93" i="22"/>
  <c r="H93" i="22"/>
  <c r="K92" i="22"/>
  <c r="J92" i="22"/>
  <c r="I92" i="22"/>
  <c r="H92" i="22"/>
  <c r="K91" i="22"/>
  <c r="J91" i="22"/>
  <c r="I91" i="22"/>
  <c r="H91" i="22"/>
  <c r="H108" i="22" s="1"/>
  <c r="K90" i="22"/>
  <c r="J90" i="22"/>
  <c r="I90" i="22"/>
  <c r="H90" i="22"/>
  <c r="C84" i="22"/>
  <c r="D83" i="22"/>
  <c r="C83" i="22"/>
  <c r="C82" i="22"/>
  <c r="D79" i="22"/>
  <c r="D71" i="22"/>
  <c r="CV54" i="22"/>
  <c r="CU54" i="22"/>
  <c r="CT54" i="22"/>
  <c r="CS54" i="22"/>
  <c r="CN54" i="22"/>
  <c r="CB54" i="22"/>
  <c r="CA54" i="22"/>
  <c r="BZ54" i="22"/>
  <c r="BY54" i="22"/>
  <c r="BX54" i="22"/>
  <c r="BO54" i="22"/>
  <c r="BN54" i="22"/>
  <c r="BM54" i="22"/>
  <c r="BL54" i="22"/>
  <c r="BD54" i="22"/>
  <c r="BC54" i="22"/>
  <c r="AR54" i="22"/>
  <c r="AQ54" i="22"/>
  <c r="AP54" i="22"/>
  <c r="AO54" i="22"/>
  <c r="AN54" i="22"/>
  <c r="AK54" i="22"/>
  <c r="AE54" i="22"/>
  <c r="AD54" i="22"/>
  <c r="AC54" i="22"/>
  <c r="AB54" i="22"/>
  <c r="T54" i="22"/>
  <c r="S54" i="22"/>
  <c r="R54" i="22"/>
  <c r="H54" i="22"/>
  <c r="G54" i="22"/>
  <c r="F54" i="22"/>
  <c r="D54" i="22"/>
  <c r="CR53" i="22"/>
  <c r="CR54" i="22" s="1"/>
  <c r="CQ53" i="22"/>
  <c r="CQ54" i="22" s="1"/>
  <c r="CP53" i="22"/>
  <c r="CP54" i="22" s="1"/>
  <c r="CO53" i="22"/>
  <c r="CO54" i="22" s="1"/>
  <c r="CN53" i="22"/>
  <c r="CM53" i="22"/>
  <c r="CM54" i="22" s="1"/>
  <c r="CL53" i="22"/>
  <c r="CL54" i="22" s="1"/>
  <c r="CK53" i="22"/>
  <c r="CK54" i="22" s="1"/>
  <c r="CJ53" i="22"/>
  <c r="CJ54" i="22" s="1"/>
  <c r="CI53" i="22"/>
  <c r="CI54" i="22" s="1"/>
  <c r="CH53" i="22"/>
  <c r="CH54" i="22" s="1"/>
  <c r="CG53" i="22"/>
  <c r="CG54" i="22" s="1"/>
  <c r="CF53" i="22"/>
  <c r="CF54" i="22" s="1"/>
  <c r="CE53" i="22"/>
  <c r="CE54" i="22" s="1"/>
  <c r="CD53" i="22"/>
  <c r="CD54" i="22" s="1"/>
  <c r="CC53" i="22"/>
  <c r="CC54" i="22" s="1"/>
  <c r="CB53" i="22"/>
  <c r="CA53" i="22"/>
  <c r="BZ53" i="22"/>
  <c r="BY53" i="22"/>
  <c r="BX53" i="22"/>
  <c r="BW53" i="22"/>
  <c r="BW54" i="22" s="1"/>
  <c r="BV53" i="22"/>
  <c r="BV54" i="22" s="1"/>
  <c r="BU53" i="22"/>
  <c r="BU54" i="22" s="1"/>
  <c r="BT53" i="22"/>
  <c r="BT54" i="22" s="1"/>
  <c r="BS53" i="22"/>
  <c r="BS54" i="22" s="1"/>
  <c r="BR53" i="22"/>
  <c r="BR54" i="22" s="1"/>
  <c r="BQ53" i="22"/>
  <c r="BQ54" i="22" s="1"/>
  <c r="BP53" i="22"/>
  <c r="BO53" i="22"/>
  <c r="BN53" i="22"/>
  <c r="BM53" i="22"/>
  <c r="BL53" i="22"/>
  <c r="BK53" i="22"/>
  <c r="BK54" i="22" s="1"/>
  <c r="BJ53" i="22"/>
  <c r="BJ54" i="22" s="1"/>
  <c r="BI53" i="22"/>
  <c r="L97" i="22" s="1"/>
  <c r="L91" i="22"/>
  <c r="BG53" i="22"/>
  <c r="L105" i="22" s="1"/>
  <c r="BF53" i="22"/>
  <c r="L100" i="22" s="1"/>
  <c r="BE53" i="22"/>
  <c r="L93" i="22" s="1"/>
  <c r="BD53" i="22"/>
  <c r="L104" i="22" s="1"/>
  <c r="BC53" i="22"/>
  <c r="L98" i="22" s="1"/>
  <c r="BB53" i="22"/>
  <c r="BB54" i="22" s="1"/>
  <c r="BA53" i="22"/>
  <c r="L92" i="22" s="1"/>
  <c r="AZ53" i="22"/>
  <c r="AZ54" i="22" s="1"/>
  <c r="AY53" i="22"/>
  <c r="AX53" i="22"/>
  <c r="AX54" i="22" s="1"/>
  <c r="AW54" i="22"/>
  <c r="AV54" i="22"/>
  <c r="AU53" i="22"/>
  <c r="L102" i="22" s="1"/>
  <c r="AT53" i="22"/>
  <c r="L95" i="22" s="1"/>
  <c r="AS53" i="22"/>
  <c r="AS54" i="22" s="1"/>
  <c r="AR53" i="22"/>
  <c r="L90" i="22" s="1"/>
  <c r="AQ53" i="22"/>
  <c r="AP53" i="22"/>
  <c r="AO53" i="22"/>
  <c r="AN53" i="22"/>
  <c r="AM53" i="22"/>
  <c r="AM54" i="22" s="1"/>
  <c r="AL53" i="22"/>
  <c r="AL54" i="22" s="1"/>
  <c r="AK53" i="22"/>
  <c r="AJ53" i="22"/>
  <c r="AJ54" i="22" s="1"/>
  <c r="AI53" i="22"/>
  <c r="AI54" i="22" s="1"/>
  <c r="AH53" i="22"/>
  <c r="AH54" i="22" s="1"/>
  <c r="AG53" i="22"/>
  <c r="AG54" i="22" s="1"/>
  <c r="AF53" i="22"/>
  <c r="AF54" i="22" s="1"/>
  <c r="AE53" i="22"/>
  <c r="AD53" i="22"/>
  <c r="AC53" i="22"/>
  <c r="AB53" i="22"/>
  <c r="AA53" i="22"/>
  <c r="AA54" i="22" s="1"/>
  <c r="Z53" i="22"/>
  <c r="Z54" i="22" s="1"/>
  <c r="Y53" i="22"/>
  <c r="Y54" i="22" s="1"/>
  <c r="X53" i="22"/>
  <c r="X54" i="22" s="1"/>
  <c r="W53" i="22"/>
  <c r="V53" i="22"/>
  <c r="U53" i="22"/>
  <c r="U54" i="22" s="1"/>
  <c r="T53" i="22"/>
  <c r="S53" i="22"/>
  <c r="R53" i="22"/>
  <c r="Q53" i="22"/>
  <c r="P53" i="22"/>
  <c r="P54" i="22" s="1"/>
  <c r="O53" i="22"/>
  <c r="N53" i="22"/>
  <c r="N54" i="22" s="1"/>
  <c r="M53" i="22"/>
  <c r="M54" i="22" s="1"/>
  <c r="L53" i="22"/>
  <c r="L54" i="22" s="1"/>
  <c r="K53" i="22"/>
  <c r="K54" i="22" s="1"/>
  <c r="J53" i="22"/>
  <c r="J54" i="22" s="1"/>
  <c r="I53" i="22"/>
  <c r="H53" i="22"/>
  <c r="G53" i="22"/>
  <c r="F53" i="22"/>
  <c r="E53" i="22"/>
  <c r="E54" i="22" s="1"/>
  <c r="D53" i="22"/>
  <c r="CW52" i="22"/>
  <c r="O54" i="22"/>
  <c r="CW50" i="22"/>
  <c r="CW49" i="22"/>
  <c r="CW48" i="22"/>
  <c r="CW47" i="22"/>
  <c r="CW46" i="22"/>
  <c r="CW45" i="22"/>
  <c r="CW44" i="22"/>
  <c r="D72" i="22" s="1"/>
  <c r="CW43" i="22"/>
  <c r="D84" i="22" s="1"/>
  <c r="CW42" i="22"/>
  <c r="CW41" i="22"/>
  <c r="CW40" i="22"/>
  <c r="D82" i="22" s="1"/>
  <c r="CW39" i="22"/>
  <c r="D70" i="22" s="1"/>
  <c r="Q54" i="22"/>
  <c r="CW37" i="22"/>
  <c r="D69" i="22" s="1"/>
  <c r="CW36" i="22"/>
  <c r="D80" i="22" s="1"/>
  <c r="CW34" i="22"/>
  <c r="D68" i="22" s="1"/>
  <c r="CW33" i="22"/>
  <c r="CW32" i="22"/>
  <c r="D67" i="22" s="1"/>
  <c r="CW31" i="22"/>
  <c r="D66" i="22" s="1"/>
  <c r="CW30" i="22"/>
  <c r="D78" i="22" s="1"/>
  <c r="CW29" i="22"/>
  <c r="CW28" i="22"/>
  <c r="CW27" i="22"/>
  <c r="CW26" i="22"/>
  <c r="CW25" i="22"/>
  <c r="CW24" i="22"/>
  <c r="CW23" i="22"/>
  <c r="CW22" i="22"/>
  <c r="D65" i="22" s="1"/>
  <c r="CW21" i="22"/>
  <c r="CW20" i="22"/>
  <c r="CW19" i="22"/>
  <c r="CW18" i="22"/>
  <c r="CW17" i="22"/>
  <c r="D74" i="22" s="1"/>
  <c r="CW16" i="22"/>
  <c r="CW15" i="22"/>
  <c r="CW14" i="22"/>
  <c r="CW13" i="22"/>
  <c r="CW12" i="22"/>
  <c r="D64" i="22" s="1"/>
  <c r="CW11" i="22"/>
  <c r="D62" i="22" s="1"/>
  <c r="CW10" i="22"/>
  <c r="CW9" i="22"/>
  <c r="K108" i="22" l="1"/>
  <c r="D75" i="22"/>
  <c r="BH54" i="22"/>
  <c r="BI54" i="22"/>
  <c r="D63" i="22"/>
  <c r="D60" i="22" s="1"/>
  <c r="CW53" i="22"/>
  <c r="D61" i="22"/>
  <c r="BA54" i="22"/>
  <c r="I108" i="22"/>
  <c r="D76" i="22"/>
  <c r="J108" i="22"/>
  <c r="BG54" i="22"/>
  <c r="D77" i="22"/>
  <c r="H109" i="22"/>
  <c r="I110" i="22"/>
  <c r="J109" i="22"/>
  <c r="K109" i="22"/>
  <c r="K110" i="22"/>
  <c r="L94" i="22"/>
  <c r="L108" i="22" s="1"/>
  <c r="AU54" i="22"/>
  <c r="J110" i="22"/>
  <c r="CW35" i="22"/>
  <c r="W54" i="22"/>
  <c r="BP54" i="22"/>
  <c r="L103" i="22"/>
  <c r="L96" i="22"/>
  <c r="I54" i="22"/>
  <c r="BE54" i="22"/>
  <c r="CW38" i="22"/>
  <c r="D81" i="22" s="1"/>
  <c r="V54" i="22"/>
  <c r="AT54" i="22"/>
  <c r="BF54" i="22"/>
  <c r="L106" i="22"/>
  <c r="L101" i="22"/>
  <c r="CW51" i="22"/>
  <c r="S52" i="16"/>
  <c r="S52" i="17"/>
  <c r="L110" i="22" l="1"/>
  <c r="D73" i="22"/>
  <c r="CW54" i="22"/>
  <c r="L109" i="22"/>
  <c r="S51" i="21"/>
  <c r="O51" i="21"/>
  <c r="Q51" i="21"/>
  <c r="W35" i="21" l="1"/>
  <c r="Q26" i="21"/>
  <c r="E27" i="21" l="1"/>
  <c r="E40" i="21" l="1"/>
  <c r="F40" i="21"/>
  <c r="L53" i="21"/>
  <c r="AP40" i="21" l="1"/>
  <c r="Q38" i="20"/>
  <c r="E51" i="20"/>
  <c r="S52" i="20" l="1"/>
  <c r="S52" i="19"/>
  <c r="V35" i="21" l="1"/>
  <c r="L51" i="20" l="1"/>
  <c r="BD52" i="20" l="1"/>
  <c r="BD50" i="20"/>
  <c r="BB52" i="20"/>
  <c r="BB50" i="20"/>
  <c r="BC50" i="20"/>
  <c r="BC52" i="20"/>
  <c r="BA52" i="20"/>
  <c r="BA50" i="20"/>
  <c r="BP52" i="21"/>
  <c r="I50" i="21"/>
  <c r="L11" i="21" l="1"/>
  <c r="K106" i="21" l="1"/>
  <c r="J106" i="21"/>
  <c r="I106" i="21"/>
  <c r="H106" i="21"/>
  <c r="K105" i="21"/>
  <c r="J105" i="21"/>
  <c r="I105" i="21"/>
  <c r="H105" i="21"/>
  <c r="K104" i="21"/>
  <c r="J104" i="21"/>
  <c r="I104" i="21"/>
  <c r="H104" i="21"/>
  <c r="K103" i="21"/>
  <c r="J103" i="21"/>
  <c r="I103" i="21"/>
  <c r="H103" i="21"/>
  <c r="K102" i="21"/>
  <c r="J102" i="21"/>
  <c r="J110" i="21" s="1"/>
  <c r="I102" i="21"/>
  <c r="I110" i="21" s="1"/>
  <c r="H102" i="21"/>
  <c r="K101" i="21"/>
  <c r="J101" i="21"/>
  <c r="I101" i="21"/>
  <c r="H101" i="21"/>
  <c r="K100" i="21"/>
  <c r="J100" i="21"/>
  <c r="I100" i="21"/>
  <c r="H100" i="21"/>
  <c r="K99" i="21"/>
  <c r="J99" i="21"/>
  <c r="I99" i="21"/>
  <c r="H99" i="21"/>
  <c r="K98" i="21"/>
  <c r="J98" i="21"/>
  <c r="I98" i="21"/>
  <c r="H98" i="21"/>
  <c r="K97" i="21"/>
  <c r="J97" i="21"/>
  <c r="I97" i="21"/>
  <c r="H97" i="21"/>
  <c r="K96" i="21"/>
  <c r="J96" i="21"/>
  <c r="I96" i="21"/>
  <c r="H96" i="21"/>
  <c r="K95" i="21"/>
  <c r="K109" i="21" s="1"/>
  <c r="J95" i="21"/>
  <c r="I95" i="21"/>
  <c r="I109" i="21" s="1"/>
  <c r="H95" i="21"/>
  <c r="K94" i="21"/>
  <c r="J94" i="21"/>
  <c r="I94" i="21"/>
  <c r="H94" i="21"/>
  <c r="K93" i="21"/>
  <c r="J93" i="21"/>
  <c r="I93" i="21"/>
  <c r="H93" i="21"/>
  <c r="K92" i="21"/>
  <c r="J92" i="21"/>
  <c r="I92" i="21"/>
  <c r="H92" i="21"/>
  <c r="K91" i="21"/>
  <c r="J91" i="21"/>
  <c r="I91" i="21"/>
  <c r="H91" i="21"/>
  <c r="K90" i="21"/>
  <c r="J90" i="21"/>
  <c r="I90" i="21"/>
  <c r="I108" i="21" s="1"/>
  <c r="H90" i="21"/>
  <c r="C84" i="21"/>
  <c r="C83" i="21"/>
  <c r="C82" i="21"/>
  <c r="D78" i="21"/>
  <c r="D67" i="21"/>
  <c r="CV54" i="21"/>
  <c r="CU54" i="21"/>
  <c r="CT54" i="21"/>
  <c r="CS54" i="21"/>
  <c r="CO54" i="21"/>
  <c r="CC54" i="21"/>
  <c r="CB54" i="21"/>
  <c r="BY54" i="21"/>
  <c r="BX54" i="21"/>
  <c r="BQ54" i="21"/>
  <c r="BL54" i="21"/>
  <c r="BE54" i="21"/>
  <c r="BD54" i="21"/>
  <c r="BA54" i="21"/>
  <c r="AZ54" i="21"/>
  <c r="AV54" i="21"/>
  <c r="AS54" i="21"/>
  <c r="AR54" i="21"/>
  <c r="AN54" i="21"/>
  <c r="AG54" i="21"/>
  <c r="AF54" i="21"/>
  <c r="AC54" i="21"/>
  <c r="AB54" i="21"/>
  <c r="X54" i="21"/>
  <c r="P54" i="21"/>
  <c r="E54" i="21"/>
  <c r="D54" i="21"/>
  <c r="CR53" i="21"/>
  <c r="CR54" i="21" s="1"/>
  <c r="CQ53" i="21"/>
  <c r="CQ54" i="21" s="1"/>
  <c r="CP53" i="21"/>
  <c r="CP54" i="21" s="1"/>
  <c r="CO53" i="21"/>
  <c r="CN53" i="21"/>
  <c r="CN54" i="21" s="1"/>
  <c r="CM53" i="21"/>
  <c r="CM54" i="21" s="1"/>
  <c r="CL53" i="21"/>
  <c r="CL54" i="21" s="1"/>
  <c r="CK53" i="21"/>
  <c r="CK54" i="21" s="1"/>
  <c r="CJ53" i="21"/>
  <c r="CJ54" i="21" s="1"/>
  <c r="CI53" i="21"/>
  <c r="CI54" i="21" s="1"/>
  <c r="CH53" i="21"/>
  <c r="CH54" i="21" s="1"/>
  <c r="CG53" i="21"/>
  <c r="CG54" i="21" s="1"/>
  <c r="CF53" i="21"/>
  <c r="CF54" i="21" s="1"/>
  <c r="CE53" i="21"/>
  <c r="CE54" i="21" s="1"/>
  <c r="CD53" i="21"/>
  <c r="CD54" i="21" s="1"/>
  <c r="CC53" i="21"/>
  <c r="CB53" i="21"/>
  <c r="CA53" i="21"/>
  <c r="BZ53" i="21"/>
  <c r="BZ54" i="21" s="1"/>
  <c r="BY53" i="21"/>
  <c r="BX53" i="21"/>
  <c r="BW53" i="21"/>
  <c r="BW54" i="21" s="1"/>
  <c r="BV53" i="21"/>
  <c r="BV54" i="21" s="1"/>
  <c r="BU53" i="21"/>
  <c r="BU54" i="21" s="1"/>
  <c r="BT53" i="21"/>
  <c r="BT54" i="21" s="1"/>
  <c r="BS53" i="21"/>
  <c r="BS54" i="21" s="1"/>
  <c r="BR53" i="21"/>
  <c r="BR54" i="21" s="1"/>
  <c r="BQ53" i="21"/>
  <c r="BP53" i="21"/>
  <c r="BO53" i="21"/>
  <c r="BO54" i="21" s="1"/>
  <c r="BN53" i="21"/>
  <c r="BN54" i="21" s="1"/>
  <c r="BM53" i="21"/>
  <c r="BM54" i="21" s="1"/>
  <c r="BL53" i="21"/>
  <c r="BK53" i="21"/>
  <c r="BK54" i="21" s="1"/>
  <c r="BJ53" i="21"/>
  <c r="BJ54" i="21" s="1"/>
  <c r="BI53" i="21"/>
  <c r="L97" i="21" s="1"/>
  <c r="BH53" i="21"/>
  <c r="L91" i="21" s="1"/>
  <c r="BG53" i="21"/>
  <c r="BG54" i="21" s="1"/>
  <c r="BF53" i="21"/>
  <c r="BF54" i="21" s="1"/>
  <c r="BE53" i="21"/>
  <c r="L93" i="21" s="1"/>
  <c r="BD53" i="21"/>
  <c r="L104" i="21" s="1"/>
  <c r="BC53" i="21"/>
  <c r="L98" i="21" s="1"/>
  <c r="BB53" i="21"/>
  <c r="BB54" i="21" s="1"/>
  <c r="BA53" i="21"/>
  <c r="L92" i="21" s="1"/>
  <c r="AZ53" i="21"/>
  <c r="AY53" i="21"/>
  <c r="AY54" i="21" s="1"/>
  <c r="AX53" i="21"/>
  <c r="AX54" i="21" s="1"/>
  <c r="AW53" i="21"/>
  <c r="AW54" i="21" s="1"/>
  <c r="AV53" i="21"/>
  <c r="AU53" i="21"/>
  <c r="L102" i="21" s="1"/>
  <c r="AT53" i="21"/>
  <c r="L95" i="21" s="1"/>
  <c r="AS53" i="21"/>
  <c r="L96" i="21" s="1"/>
  <c r="AR53" i="21"/>
  <c r="L90" i="21" s="1"/>
  <c r="AQ53" i="21"/>
  <c r="AQ54" i="21" s="1"/>
  <c r="AP53" i="21"/>
  <c r="AP54" i="21" s="1"/>
  <c r="AO53" i="21"/>
  <c r="AO54" i="21" s="1"/>
  <c r="AN53" i="21"/>
  <c r="AM53" i="21"/>
  <c r="AM54" i="21" s="1"/>
  <c r="AL53" i="21"/>
  <c r="AL54" i="21" s="1"/>
  <c r="AK53" i="21"/>
  <c r="AK54" i="21" s="1"/>
  <c r="AJ53" i="21"/>
  <c r="AJ54" i="21" s="1"/>
  <c r="AI53" i="21"/>
  <c r="AI54" i="21" s="1"/>
  <c r="AH53" i="21"/>
  <c r="AH54" i="21" s="1"/>
  <c r="AG53" i="21"/>
  <c r="AF53" i="21"/>
  <c r="AE53" i="21"/>
  <c r="AE54" i="21" s="1"/>
  <c r="AD53" i="21"/>
  <c r="AD54" i="21" s="1"/>
  <c r="AC53" i="21"/>
  <c r="AB53" i="21"/>
  <c r="AA53" i="21"/>
  <c r="AA54" i="21" s="1"/>
  <c r="Z53" i="21"/>
  <c r="Z54" i="21" s="1"/>
  <c r="Y53" i="21"/>
  <c r="Y54" i="21" s="1"/>
  <c r="X53" i="21"/>
  <c r="W53" i="21"/>
  <c r="V53" i="21"/>
  <c r="V54" i="21" s="1"/>
  <c r="U53" i="21"/>
  <c r="U54" i="21" s="1"/>
  <c r="T53" i="21"/>
  <c r="T54" i="21" s="1"/>
  <c r="S53" i="21"/>
  <c r="R53" i="21"/>
  <c r="R54" i="21" s="1"/>
  <c r="Q53" i="21"/>
  <c r="P53" i="21"/>
  <c r="O53" i="21"/>
  <c r="O54" i="21" s="1"/>
  <c r="N53" i="21"/>
  <c r="N54" i="21" s="1"/>
  <c r="M53" i="21"/>
  <c r="M54" i="21" s="1"/>
  <c r="L54" i="21"/>
  <c r="K53" i="21"/>
  <c r="K54" i="21" s="1"/>
  <c r="J53" i="21"/>
  <c r="J54" i="21" s="1"/>
  <c r="I53" i="21"/>
  <c r="I54" i="21" s="1"/>
  <c r="H53" i="21"/>
  <c r="H54" i="21" s="1"/>
  <c r="G53" i="21"/>
  <c r="G54" i="21" s="1"/>
  <c r="F54" i="21"/>
  <c r="E53" i="21"/>
  <c r="D53" i="21"/>
  <c r="BP54" i="21"/>
  <c r="S54" i="21"/>
  <c r="CW51" i="21"/>
  <c r="CW50" i="21"/>
  <c r="CW49" i="21"/>
  <c r="CW48" i="21"/>
  <c r="CW47" i="21"/>
  <c r="CW46" i="21"/>
  <c r="CW45" i="21"/>
  <c r="CW44" i="21"/>
  <c r="D72" i="21" s="1"/>
  <c r="CW43" i="21"/>
  <c r="D84" i="21" s="1"/>
  <c r="CW42" i="21"/>
  <c r="D83" i="21" s="1"/>
  <c r="CW41" i="21"/>
  <c r="D71" i="21" s="1"/>
  <c r="CW40" i="21"/>
  <c r="D82" i="21" s="1"/>
  <c r="CW39" i="21"/>
  <c r="D70" i="21" s="1"/>
  <c r="CW38" i="21"/>
  <c r="D81" i="21" s="1"/>
  <c r="CW37" i="21"/>
  <c r="D69" i="21" s="1"/>
  <c r="CW36" i="21"/>
  <c r="D80" i="21" s="1"/>
  <c r="CW34" i="21"/>
  <c r="D68" i="21" s="1"/>
  <c r="CW33" i="21"/>
  <c r="D79" i="21" s="1"/>
  <c r="CW32" i="21"/>
  <c r="CW31" i="21"/>
  <c r="D66" i="21" s="1"/>
  <c r="CW30" i="21"/>
  <c r="CW29" i="21"/>
  <c r="CW28" i="21"/>
  <c r="CW27" i="21"/>
  <c r="CW26" i="21"/>
  <c r="CW25" i="21"/>
  <c r="CW24" i="21"/>
  <c r="CW23" i="21"/>
  <c r="CW22" i="21"/>
  <c r="D65" i="21" s="1"/>
  <c r="CW21" i="21"/>
  <c r="CW20" i="21"/>
  <c r="CW19" i="21"/>
  <c r="CW18" i="21"/>
  <c r="CW17" i="21"/>
  <c r="D74" i="21" s="1"/>
  <c r="CW16" i="21"/>
  <c r="D76" i="21" s="1"/>
  <c r="CW15" i="21"/>
  <c r="CW14" i="21"/>
  <c r="CW13" i="21"/>
  <c r="D75" i="21" s="1"/>
  <c r="CW12" i="21"/>
  <c r="CW11" i="21"/>
  <c r="CW10" i="21"/>
  <c r="CW9" i="21"/>
  <c r="W35" i="20"/>
  <c r="L94" i="21" l="1"/>
  <c r="K110" i="21"/>
  <c r="D61" i="21"/>
  <c r="D62" i="21"/>
  <c r="L105" i="21"/>
  <c r="D63" i="21"/>
  <c r="H108" i="21"/>
  <c r="J108" i="21"/>
  <c r="CW53" i="21"/>
  <c r="BH54" i="21"/>
  <c r="D64" i="21"/>
  <c r="K108" i="21"/>
  <c r="J109" i="21"/>
  <c r="H109" i="21"/>
  <c r="D77" i="21"/>
  <c r="L100" i="21"/>
  <c r="H110" i="21"/>
  <c r="AU54" i="21"/>
  <c r="D73" i="21"/>
  <c r="L108" i="21"/>
  <c r="L99" i="21"/>
  <c r="CW52" i="21"/>
  <c r="Q54" i="21"/>
  <c r="L106" i="21"/>
  <c r="L101" i="21"/>
  <c r="BC54" i="21"/>
  <c r="CA54" i="21"/>
  <c r="L103" i="21"/>
  <c r="AT54" i="21"/>
  <c r="BI54" i="21"/>
  <c r="D60" i="21" l="1"/>
  <c r="L110" i="21"/>
  <c r="L109" i="21"/>
  <c r="W54" i="21"/>
  <c r="CW35" i="21"/>
  <c r="CW54" i="21" l="1"/>
  <c r="L53" i="20" l="1"/>
  <c r="V35" i="20" l="1"/>
  <c r="D64" i="19" l="1"/>
  <c r="L51" i="19" l="1"/>
  <c r="M48" i="19"/>
  <c r="L48" i="19"/>
  <c r="BA50" i="19"/>
  <c r="F53" i="19"/>
  <c r="I52" i="20"/>
  <c r="BP52" i="20"/>
  <c r="K106" i="20" l="1"/>
  <c r="J106" i="20"/>
  <c r="I106" i="20"/>
  <c r="H106" i="20"/>
  <c r="L105" i="20"/>
  <c r="K105" i="20"/>
  <c r="J105" i="20"/>
  <c r="I105" i="20"/>
  <c r="H105" i="20"/>
  <c r="K104" i="20"/>
  <c r="J104" i="20"/>
  <c r="I104" i="20"/>
  <c r="H104" i="20"/>
  <c r="K103" i="20"/>
  <c r="J103" i="20"/>
  <c r="I103" i="20"/>
  <c r="H103" i="20"/>
  <c r="K102" i="20"/>
  <c r="K110" i="20" s="1"/>
  <c r="J102" i="20"/>
  <c r="J110" i="20" s="1"/>
  <c r="I102" i="20"/>
  <c r="I110" i="20" s="1"/>
  <c r="H102" i="20"/>
  <c r="H110" i="20" s="1"/>
  <c r="K101" i="20"/>
  <c r="J101" i="20"/>
  <c r="I101" i="20"/>
  <c r="H101" i="20"/>
  <c r="K100" i="20"/>
  <c r="J100" i="20"/>
  <c r="I100" i="20"/>
  <c r="H100" i="20"/>
  <c r="K99" i="20"/>
  <c r="J99" i="20"/>
  <c r="I99" i="20"/>
  <c r="H99" i="20"/>
  <c r="K98" i="20"/>
  <c r="J98" i="20"/>
  <c r="I98" i="20"/>
  <c r="H98" i="20"/>
  <c r="K97" i="20"/>
  <c r="J97" i="20"/>
  <c r="I97" i="20"/>
  <c r="H97" i="20"/>
  <c r="K96" i="20"/>
  <c r="J96" i="20"/>
  <c r="I96" i="20"/>
  <c r="H96" i="20"/>
  <c r="K95" i="20"/>
  <c r="J95" i="20"/>
  <c r="I95" i="20"/>
  <c r="H95" i="20"/>
  <c r="K94" i="20"/>
  <c r="J94" i="20"/>
  <c r="I94" i="20"/>
  <c r="H94" i="20"/>
  <c r="K93" i="20"/>
  <c r="J93" i="20"/>
  <c r="I93" i="20"/>
  <c r="H93" i="20"/>
  <c r="K92" i="20"/>
  <c r="J92" i="20"/>
  <c r="I92" i="20"/>
  <c r="H92" i="20"/>
  <c r="L91" i="20"/>
  <c r="K91" i="20"/>
  <c r="J91" i="20"/>
  <c r="I91" i="20"/>
  <c r="H91" i="20"/>
  <c r="K90" i="20"/>
  <c r="J90" i="20"/>
  <c r="I90" i="20"/>
  <c r="H90" i="20"/>
  <c r="C84" i="20"/>
  <c r="C83" i="20"/>
  <c r="C82" i="20"/>
  <c r="D80" i="20"/>
  <c r="D65" i="20"/>
  <c r="D64" i="20"/>
  <c r="CV54" i="20"/>
  <c r="CU54" i="20"/>
  <c r="CT54" i="20"/>
  <c r="CS54" i="20"/>
  <c r="CR54" i="20"/>
  <c r="CQ54" i="20"/>
  <c r="CP54" i="20"/>
  <c r="CF54" i="20"/>
  <c r="CE54" i="20"/>
  <c r="BH54" i="20"/>
  <c r="BG54" i="20"/>
  <c r="BF54" i="20"/>
  <c r="AV54" i="20"/>
  <c r="AU54" i="20"/>
  <c r="AT54" i="20"/>
  <c r="X54" i="20"/>
  <c r="V54" i="20"/>
  <c r="U54" i="20"/>
  <c r="K54" i="20"/>
  <c r="CR53" i="20"/>
  <c r="CQ53" i="20"/>
  <c r="CP53" i="20"/>
  <c r="CO53" i="20"/>
  <c r="CO54" i="20" s="1"/>
  <c r="CN53" i="20"/>
  <c r="CN54" i="20" s="1"/>
  <c r="CM53" i="20"/>
  <c r="CM54" i="20" s="1"/>
  <c r="CL53" i="20"/>
  <c r="CL54" i="20" s="1"/>
  <c r="CK53" i="20"/>
  <c r="CK54" i="20" s="1"/>
  <c r="CJ53" i="20"/>
  <c r="CJ54" i="20" s="1"/>
  <c r="CI53" i="20"/>
  <c r="CI54" i="20" s="1"/>
  <c r="CH53" i="20"/>
  <c r="CH54" i="20" s="1"/>
  <c r="CG53" i="20"/>
  <c r="CG54" i="20" s="1"/>
  <c r="CF53" i="20"/>
  <c r="CE53" i="20"/>
  <c r="CD53" i="20"/>
  <c r="CD54" i="20" s="1"/>
  <c r="CC53" i="20"/>
  <c r="CC54" i="20" s="1"/>
  <c r="CB53" i="20"/>
  <c r="CB54" i="20" s="1"/>
  <c r="CA53" i="20"/>
  <c r="BZ53" i="20"/>
  <c r="BZ54" i="20" s="1"/>
  <c r="BY53" i="20"/>
  <c r="BY54" i="20" s="1"/>
  <c r="BX53" i="20"/>
  <c r="BX54" i="20" s="1"/>
  <c r="BW53" i="20"/>
  <c r="BW54" i="20" s="1"/>
  <c r="BV53" i="20"/>
  <c r="BV54" i="20" s="1"/>
  <c r="BU53" i="20"/>
  <c r="BU54" i="20" s="1"/>
  <c r="BT53" i="20"/>
  <c r="BT54" i="20" s="1"/>
  <c r="BS53" i="20"/>
  <c r="BS54" i="20" s="1"/>
  <c r="BR53" i="20"/>
  <c r="BR54" i="20" s="1"/>
  <c r="BQ53" i="20"/>
  <c r="BQ54" i="20" s="1"/>
  <c r="BP53" i="20"/>
  <c r="BP54" i="20" s="1"/>
  <c r="BO53" i="20"/>
  <c r="BO54" i="20" s="1"/>
  <c r="BN53" i="20"/>
  <c r="BM53" i="20"/>
  <c r="BM54" i="20" s="1"/>
  <c r="BL53" i="20"/>
  <c r="BL54" i="20" s="1"/>
  <c r="BK53" i="20"/>
  <c r="BK54" i="20" s="1"/>
  <c r="BJ53" i="20"/>
  <c r="BJ54" i="20" s="1"/>
  <c r="BI53" i="20"/>
  <c r="L97" i="20" s="1"/>
  <c r="BH53" i="20"/>
  <c r="BG53" i="20"/>
  <c r="BF53" i="20"/>
  <c r="L100" i="20" s="1"/>
  <c r="BE53" i="20"/>
  <c r="L93" i="20" s="1"/>
  <c r="BD53" i="20"/>
  <c r="L104" i="20" s="1"/>
  <c r="BC53" i="20"/>
  <c r="L98" i="20" s="1"/>
  <c r="BB53" i="20"/>
  <c r="L99" i="20" s="1"/>
  <c r="BA53" i="20"/>
  <c r="L92" i="20" s="1"/>
  <c r="AZ53" i="20"/>
  <c r="AZ54" i="20" s="1"/>
  <c r="AY53" i="20"/>
  <c r="AY54" i="20" s="1"/>
  <c r="AX53" i="20"/>
  <c r="AX54" i="20" s="1"/>
  <c r="AW53" i="20"/>
  <c r="AW54" i="20" s="1"/>
  <c r="AV53" i="20"/>
  <c r="AU53" i="20"/>
  <c r="L102" i="20" s="1"/>
  <c r="AT53" i="20"/>
  <c r="L95" i="20" s="1"/>
  <c r="AS53" i="20"/>
  <c r="AS54" i="20" s="1"/>
  <c r="AR53" i="20"/>
  <c r="L90" i="20" s="1"/>
  <c r="AQ53" i="20"/>
  <c r="AQ54" i="20" s="1"/>
  <c r="AP53" i="20"/>
  <c r="AP54" i="20" s="1"/>
  <c r="AO53" i="20"/>
  <c r="AO54" i="20" s="1"/>
  <c r="AN53" i="20"/>
  <c r="AN54" i="20" s="1"/>
  <c r="AM53" i="20"/>
  <c r="AM54" i="20" s="1"/>
  <c r="AL53" i="20"/>
  <c r="AL54" i="20" s="1"/>
  <c r="AK53" i="20"/>
  <c r="AK54" i="20" s="1"/>
  <c r="AJ53" i="20"/>
  <c r="AJ54" i="20" s="1"/>
  <c r="AI53" i="20"/>
  <c r="AI54" i="20" s="1"/>
  <c r="AH53" i="20"/>
  <c r="AH54" i="20" s="1"/>
  <c r="AG53" i="20"/>
  <c r="AG54" i="20" s="1"/>
  <c r="AF53" i="20"/>
  <c r="AF54" i="20" s="1"/>
  <c r="AE53" i="20"/>
  <c r="AE54" i="20" s="1"/>
  <c r="AD53" i="20"/>
  <c r="AD54" i="20" s="1"/>
  <c r="AC53" i="20"/>
  <c r="AC54" i="20" s="1"/>
  <c r="AB53" i="20"/>
  <c r="AB54" i="20" s="1"/>
  <c r="AA53" i="20"/>
  <c r="AA54" i="20" s="1"/>
  <c r="Z53" i="20"/>
  <c r="Z54" i="20" s="1"/>
  <c r="Y53" i="20"/>
  <c r="Y54" i="20" s="1"/>
  <c r="X53" i="20"/>
  <c r="W53" i="20"/>
  <c r="V53" i="20"/>
  <c r="U53" i="20"/>
  <c r="T53" i="20"/>
  <c r="T54" i="20" s="1"/>
  <c r="S53" i="20"/>
  <c r="R53" i="20"/>
  <c r="R54" i="20" s="1"/>
  <c r="Q53" i="20"/>
  <c r="Q54" i="20" s="1"/>
  <c r="P53" i="20"/>
  <c r="P54" i="20" s="1"/>
  <c r="O53" i="20"/>
  <c r="O54" i="20" s="1"/>
  <c r="N53" i="20"/>
  <c r="N54" i="20" s="1"/>
  <c r="M53" i="20"/>
  <c r="M54" i="20" s="1"/>
  <c r="L54" i="20"/>
  <c r="K53" i="20"/>
  <c r="J53" i="20"/>
  <c r="J54" i="20" s="1"/>
  <c r="I53" i="20"/>
  <c r="H53" i="20"/>
  <c r="H54" i="20" s="1"/>
  <c r="G53" i="20"/>
  <c r="G54" i="20" s="1"/>
  <c r="F53" i="20"/>
  <c r="F54" i="20" s="1"/>
  <c r="D53" i="20"/>
  <c r="D54" i="20" s="1"/>
  <c r="BN54" i="20"/>
  <c r="S54" i="20"/>
  <c r="CW51" i="20"/>
  <c r="CW50" i="20"/>
  <c r="CW49" i="20"/>
  <c r="CW48" i="20"/>
  <c r="CW47" i="20"/>
  <c r="CW46" i="20"/>
  <c r="CW45" i="20"/>
  <c r="CW44" i="20"/>
  <c r="D72" i="20" s="1"/>
  <c r="CW43" i="20"/>
  <c r="D84" i="20" s="1"/>
  <c r="CW42" i="20"/>
  <c r="D83" i="20" s="1"/>
  <c r="CW41" i="20"/>
  <c r="D71" i="20" s="1"/>
  <c r="CW40" i="20"/>
  <c r="D82" i="20" s="1"/>
  <c r="CW39" i="20"/>
  <c r="D70" i="20" s="1"/>
  <c r="CW38" i="20"/>
  <c r="D81" i="20" s="1"/>
  <c r="CW37" i="20"/>
  <c r="D69" i="20" s="1"/>
  <c r="CW36" i="20"/>
  <c r="CW34" i="20"/>
  <c r="D68" i="20" s="1"/>
  <c r="CW33" i="20"/>
  <c r="D79" i="20" s="1"/>
  <c r="CW32" i="20"/>
  <c r="D67" i="20" s="1"/>
  <c r="CW31" i="20"/>
  <c r="D66" i="20" s="1"/>
  <c r="CW30" i="20"/>
  <c r="D78" i="20" s="1"/>
  <c r="CW29" i="20"/>
  <c r="CW28" i="20"/>
  <c r="D77" i="20" s="1"/>
  <c r="CW27" i="20"/>
  <c r="CW26" i="20"/>
  <c r="CW25" i="20"/>
  <c r="CW24" i="20"/>
  <c r="CW23" i="20"/>
  <c r="CW22" i="20"/>
  <c r="CW21" i="20"/>
  <c r="CW20" i="20"/>
  <c r="CW19" i="20"/>
  <c r="CW18" i="20"/>
  <c r="D61" i="20" s="1"/>
  <c r="CW17" i="20"/>
  <c r="D74" i="20" s="1"/>
  <c r="CW16" i="20"/>
  <c r="D76" i="20" s="1"/>
  <c r="CW15" i="20"/>
  <c r="CW14" i="20"/>
  <c r="CW13" i="20"/>
  <c r="CW12" i="20"/>
  <c r="CW11" i="20"/>
  <c r="D62" i="20" s="1"/>
  <c r="CW10" i="20"/>
  <c r="CW9" i="20"/>
  <c r="H108" i="20" l="1"/>
  <c r="J108" i="20"/>
  <c r="K109" i="20"/>
  <c r="K108" i="20"/>
  <c r="H109" i="20"/>
  <c r="I109" i="20"/>
  <c r="D75" i="20"/>
  <c r="D63" i="20"/>
  <c r="D60" i="20" s="1"/>
  <c r="I108" i="20"/>
  <c r="J109" i="20"/>
  <c r="W54" i="20"/>
  <c r="CW35" i="20"/>
  <c r="L108" i="20"/>
  <c r="D73" i="20"/>
  <c r="CW52" i="20"/>
  <c r="BA54" i="20"/>
  <c r="L94" i="20"/>
  <c r="L106" i="20"/>
  <c r="BB54" i="20"/>
  <c r="L101" i="20"/>
  <c r="E53" i="20"/>
  <c r="CW53" i="20" s="1"/>
  <c r="BC54" i="20"/>
  <c r="CA54" i="20"/>
  <c r="L96" i="20"/>
  <c r="AR54" i="20"/>
  <c r="BD54" i="20"/>
  <c r="L103" i="20"/>
  <c r="L110" i="20" s="1"/>
  <c r="I54" i="20"/>
  <c r="BE54" i="20"/>
  <c r="BI54" i="20"/>
  <c r="M11" i="19"/>
  <c r="W35" i="19"/>
  <c r="L109" i="20" l="1"/>
  <c r="E54" i="20"/>
  <c r="E40" i="19"/>
  <c r="CW54" i="20" l="1"/>
  <c r="E51" i="18"/>
  <c r="V35" i="19" l="1"/>
  <c r="BD52" i="18" l="1"/>
  <c r="BC52" i="18"/>
  <c r="BA52" i="18"/>
  <c r="BN52" i="19"/>
  <c r="BP52" i="19"/>
  <c r="I50" i="19"/>
  <c r="BL50" i="19"/>
  <c r="L11" i="19" l="1"/>
  <c r="K106" i="19" l="1"/>
  <c r="J106" i="19"/>
  <c r="I106" i="19"/>
  <c r="H106" i="19"/>
  <c r="K105" i="19"/>
  <c r="J105" i="19"/>
  <c r="I105" i="19"/>
  <c r="H105" i="19"/>
  <c r="K104" i="19"/>
  <c r="J104" i="19"/>
  <c r="I104" i="19"/>
  <c r="H104" i="19"/>
  <c r="K103" i="19"/>
  <c r="J103" i="19"/>
  <c r="I103" i="19"/>
  <c r="H103" i="19"/>
  <c r="K102" i="19"/>
  <c r="K110" i="19" s="1"/>
  <c r="J102" i="19"/>
  <c r="I102" i="19"/>
  <c r="H102" i="19"/>
  <c r="K101" i="19"/>
  <c r="J101" i="19"/>
  <c r="I101" i="19"/>
  <c r="H101" i="19"/>
  <c r="K100" i="19"/>
  <c r="J100" i="19"/>
  <c r="I100" i="19"/>
  <c r="H100" i="19"/>
  <c r="L99" i="19"/>
  <c r="K99" i="19"/>
  <c r="J99" i="19"/>
  <c r="I99" i="19"/>
  <c r="H99" i="19"/>
  <c r="K98" i="19"/>
  <c r="J98" i="19"/>
  <c r="I98" i="19"/>
  <c r="H98" i="19"/>
  <c r="K97" i="19"/>
  <c r="J97" i="19"/>
  <c r="I97" i="19"/>
  <c r="H97" i="19"/>
  <c r="K96" i="19"/>
  <c r="J96" i="19"/>
  <c r="I96" i="19"/>
  <c r="H96" i="19"/>
  <c r="K95" i="19"/>
  <c r="J95" i="19"/>
  <c r="I95" i="19"/>
  <c r="H95" i="19"/>
  <c r="K94" i="19"/>
  <c r="J94" i="19"/>
  <c r="I94" i="19"/>
  <c r="H94" i="19"/>
  <c r="K93" i="19"/>
  <c r="J93" i="19"/>
  <c r="I93" i="19"/>
  <c r="H93" i="19"/>
  <c r="K92" i="19"/>
  <c r="J92" i="19"/>
  <c r="I92" i="19"/>
  <c r="H92" i="19"/>
  <c r="K91" i="19"/>
  <c r="J91" i="19"/>
  <c r="I91" i="19"/>
  <c r="H91" i="19"/>
  <c r="K90" i="19"/>
  <c r="J90" i="19"/>
  <c r="I90" i="19"/>
  <c r="H90" i="19"/>
  <c r="H108" i="19" s="1"/>
  <c r="C84" i="19"/>
  <c r="C83" i="19"/>
  <c r="C82" i="19"/>
  <c r="CV54" i="19"/>
  <c r="CU54" i="19"/>
  <c r="CT54" i="19"/>
  <c r="CS54" i="19"/>
  <c r="CJ54" i="19"/>
  <c r="CI54" i="19"/>
  <c r="AQ54" i="19"/>
  <c r="G54" i="19"/>
  <c r="F54" i="19"/>
  <c r="CR53" i="19"/>
  <c r="CR54" i="19" s="1"/>
  <c r="CQ53" i="19"/>
  <c r="CQ54" i="19" s="1"/>
  <c r="CP53" i="19"/>
  <c r="CP54" i="19" s="1"/>
  <c r="CO53" i="19"/>
  <c r="CO54" i="19" s="1"/>
  <c r="CN53" i="19"/>
  <c r="CN54" i="19" s="1"/>
  <c r="CM53" i="19"/>
  <c r="CM54" i="19" s="1"/>
  <c r="CL53" i="19"/>
  <c r="CL54" i="19" s="1"/>
  <c r="CK53" i="19"/>
  <c r="CK54" i="19" s="1"/>
  <c r="CJ53" i="19"/>
  <c r="CI53" i="19"/>
  <c r="CH53" i="19"/>
  <c r="CH54" i="19" s="1"/>
  <c r="CG53" i="19"/>
  <c r="CG54" i="19" s="1"/>
  <c r="CF53" i="19"/>
  <c r="CF54" i="19" s="1"/>
  <c r="CE53" i="19"/>
  <c r="CE54" i="19" s="1"/>
  <c r="CD53" i="19"/>
  <c r="CD54" i="19" s="1"/>
  <c r="CC53" i="19"/>
  <c r="CC54" i="19" s="1"/>
  <c r="CB53" i="19"/>
  <c r="CB54" i="19" s="1"/>
  <c r="CA53" i="19"/>
  <c r="BZ53" i="19"/>
  <c r="BZ54" i="19" s="1"/>
  <c r="BY53" i="19"/>
  <c r="BY54" i="19" s="1"/>
  <c r="BX53" i="19"/>
  <c r="BX54" i="19" s="1"/>
  <c r="BW53" i="19"/>
  <c r="BW54" i="19" s="1"/>
  <c r="BV53" i="19"/>
  <c r="BV54" i="19" s="1"/>
  <c r="BU53" i="19"/>
  <c r="BU54" i="19" s="1"/>
  <c r="BT53" i="19"/>
  <c r="BT54" i="19" s="1"/>
  <c r="BS53" i="19"/>
  <c r="BS54" i="19" s="1"/>
  <c r="BR53" i="19"/>
  <c r="BR54" i="19" s="1"/>
  <c r="BQ53" i="19"/>
  <c r="BQ54" i="19" s="1"/>
  <c r="BP53" i="19"/>
  <c r="BO53" i="19"/>
  <c r="BO54" i="19" s="1"/>
  <c r="BN53" i="19"/>
  <c r="BN54" i="19" s="1"/>
  <c r="BM53" i="19"/>
  <c r="BM54" i="19" s="1"/>
  <c r="BL53" i="19"/>
  <c r="BK53" i="19"/>
  <c r="BK54" i="19" s="1"/>
  <c r="BJ53" i="19"/>
  <c r="BJ54" i="19" s="1"/>
  <c r="BI53" i="19"/>
  <c r="L97" i="19" s="1"/>
  <c r="BH53" i="19"/>
  <c r="BH54" i="19" s="1"/>
  <c r="BG53" i="19"/>
  <c r="BG54" i="19" s="1"/>
  <c r="BF53" i="19"/>
  <c r="L100" i="19" s="1"/>
  <c r="BE53" i="19"/>
  <c r="L93" i="19" s="1"/>
  <c r="BD53" i="19"/>
  <c r="BD54" i="19" s="1"/>
  <c r="BC53" i="19"/>
  <c r="L98" i="19" s="1"/>
  <c r="BB53" i="19"/>
  <c r="BB54" i="19" s="1"/>
  <c r="BA53" i="19"/>
  <c r="BA54" i="19" s="1"/>
  <c r="AZ53" i="19"/>
  <c r="AZ54" i="19" s="1"/>
  <c r="AY53" i="19"/>
  <c r="L101" i="19" s="1"/>
  <c r="AX53" i="19"/>
  <c r="AX54" i="19" s="1"/>
  <c r="AW53" i="19"/>
  <c r="AW54" i="19" s="1"/>
  <c r="AV53" i="19"/>
  <c r="AV54" i="19" s="1"/>
  <c r="AU53" i="19"/>
  <c r="L102" i="19" s="1"/>
  <c r="AT53" i="19"/>
  <c r="L95" i="19" s="1"/>
  <c r="AS53" i="19"/>
  <c r="AS54" i="19" s="1"/>
  <c r="AR53" i="19"/>
  <c r="AR54" i="19" s="1"/>
  <c r="AQ53" i="19"/>
  <c r="AP53" i="19"/>
  <c r="AP54" i="19" s="1"/>
  <c r="AO53" i="19"/>
  <c r="AO54" i="19" s="1"/>
  <c r="AN53" i="19"/>
  <c r="AN54" i="19" s="1"/>
  <c r="AM53" i="19"/>
  <c r="AM54" i="19" s="1"/>
  <c r="AL53" i="19"/>
  <c r="AL54" i="19" s="1"/>
  <c r="AK53" i="19"/>
  <c r="AK54" i="19" s="1"/>
  <c r="AJ53" i="19"/>
  <c r="AJ54" i="19" s="1"/>
  <c r="AI53" i="19"/>
  <c r="AI54" i="19" s="1"/>
  <c r="AH53" i="19"/>
  <c r="AH54" i="19" s="1"/>
  <c r="AG53" i="19"/>
  <c r="AG54" i="19" s="1"/>
  <c r="AF53" i="19"/>
  <c r="AF54" i="19" s="1"/>
  <c r="AE53" i="19"/>
  <c r="AE54" i="19" s="1"/>
  <c r="AD53" i="19"/>
  <c r="AD54" i="19" s="1"/>
  <c r="AC53" i="19"/>
  <c r="AC54" i="19" s="1"/>
  <c r="AB53" i="19"/>
  <c r="AB54" i="19" s="1"/>
  <c r="AA53" i="19"/>
  <c r="AA54" i="19" s="1"/>
  <c r="Z53" i="19"/>
  <c r="Z54" i="19" s="1"/>
  <c r="Y53" i="19"/>
  <c r="Y54" i="19" s="1"/>
  <c r="X53" i="19"/>
  <c r="X54" i="19" s="1"/>
  <c r="W53" i="19"/>
  <c r="V53" i="19"/>
  <c r="U53" i="19"/>
  <c r="U54" i="19" s="1"/>
  <c r="T53" i="19"/>
  <c r="T54" i="19" s="1"/>
  <c r="S53" i="19"/>
  <c r="S54" i="19" s="1"/>
  <c r="R53" i="19"/>
  <c r="R54" i="19" s="1"/>
  <c r="Q53" i="19"/>
  <c r="P53" i="19"/>
  <c r="P54" i="19" s="1"/>
  <c r="O53" i="19"/>
  <c r="O54" i="19" s="1"/>
  <c r="N53" i="19"/>
  <c r="N54" i="19" s="1"/>
  <c r="M53" i="19"/>
  <c r="M54" i="19" s="1"/>
  <c r="L53" i="19"/>
  <c r="L54" i="19" s="1"/>
  <c r="K53" i="19"/>
  <c r="K54" i="19" s="1"/>
  <c r="J53" i="19"/>
  <c r="J54" i="19" s="1"/>
  <c r="I53" i="19"/>
  <c r="I54" i="19" s="1"/>
  <c r="H53" i="19"/>
  <c r="H54" i="19" s="1"/>
  <c r="G53" i="19"/>
  <c r="E53" i="19"/>
  <c r="E54" i="19" s="1"/>
  <c r="D53" i="19"/>
  <c r="D54" i="19" s="1"/>
  <c r="BP54" i="19"/>
  <c r="BL54" i="19"/>
  <c r="CW51" i="19"/>
  <c r="CW50" i="19"/>
  <c r="CW49" i="19"/>
  <c r="CW48" i="19"/>
  <c r="CW47" i="19"/>
  <c r="CW46" i="19"/>
  <c r="CW45" i="19"/>
  <c r="CW44" i="19"/>
  <c r="D72" i="19" s="1"/>
  <c r="CW43" i="19"/>
  <c r="D84" i="19" s="1"/>
  <c r="CW42" i="19"/>
  <c r="D83" i="19" s="1"/>
  <c r="CW41" i="19"/>
  <c r="D71" i="19" s="1"/>
  <c r="CW40" i="19"/>
  <c r="D82" i="19" s="1"/>
  <c r="CW39" i="19"/>
  <c r="D70" i="19" s="1"/>
  <c r="CW38" i="19"/>
  <c r="D81" i="19" s="1"/>
  <c r="CW37" i="19"/>
  <c r="D69" i="19" s="1"/>
  <c r="CW36" i="19"/>
  <c r="D80" i="19" s="1"/>
  <c r="CW34" i="19"/>
  <c r="D68" i="19" s="1"/>
  <c r="CW33" i="19"/>
  <c r="D79" i="19" s="1"/>
  <c r="CW32" i="19"/>
  <c r="D67" i="19" s="1"/>
  <c r="CW31" i="19"/>
  <c r="D66" i="19" s="1"/>
  <c r="CW30" i="19"/>
  <c r="D78" i="19" s="1"/>
  <c r="CW29" i="19"/>
  <c r="CW28" i="19"/>
  <c r="CW26" i="19"/>
  <c r="CW25" i="19"/>
  <c r="CW24" i="19"/>
  <c r="CW23" i="19"/>
  <c r="CW22" i="19"/>
  <c r="D65" i="19" s="1"/>
  <c r="CW21" i="19"/>
  <c r="CW20" i="19"/>
  <c r="CW19" i="19"/>
  <c r="CW18" i="19"/>
  <c r="D61" i="19" s="1"/>
  <c r="CW17" i="19"/>
  <c r="D74" i="19" s="1"/>
  <c r="CW16" i="19"/>
  <c r="CW15" i="19"/>
  <c r="CW14" i="19"/>
  <c r="CW13" i="19"/>
  <c r="CW12" i="19"/>
  <c r="CW11" i="19"/>
  <c r="D62" i="19" s="1"/>
  <c r="CW10" i="19"/>
  <c r="CW9" i="19"/>
  <c r="D76" i="19" l="1"/>
  <c r="J108" i="19"/>
  <c r="D77" i="19"/>
  <c r="K109" i="19"/>
  <c r="H110" i="19"/>
  <c r="L92" i="19"/>
  <c r="K108" i="19"/>
  <c r="H109" i="19"/>
  <c r="L90" i="19"/>
  <c r="D75" i="19"/>
  <c r="J109" i="19"/>
  <c r="CA54" i="19"/>
  <c r="L96" i="19"/>
  <c r="L109" i="19" s="1"/>
  <c r="I110" i="19"/>
  <c r="L104" i="19"/>
  <c r="AY54" i="19"/>
  <c r="BC54" i="19"/>
  <c r="I108" i="19"/>
  <c r="J110" i="19"/>
  <c r="I109" i="19"/>
  <c r="W54" i="19"/>
  <c r="CW35" i="19"/>
  <c r="CW52" i="19"/>
  <c r="Q54" i="19"/>
  <c r="L94" i="19"/>
  <c r="L106" i="19"/>
  <c r="L91" i="19"/>
  <c r="L103" i="19"/>
  <c r="BE54" i="19"/>
  <c r="CW53" i="19"/>
  <c r="CW27" i="19"/>
  <c r="D63" i="19" s="1"/>
  <c r="D60" i="19" s="1"/>
  <c r="V54" i="19"/>
  <c r="AT54" i="19"/>
  <c r="BF54" i="19"/>
  <c r="L105" i="19"/>
  <c r="AU54" i="19"/>
  <c r="BI54" i="19"/>
  <c r="S52" i="18"/>
  <c r="L108" i="19" l="1"/>
  <c r="D73" i="19"/>
  <c r="CW54" i="19"/>
  <c r="L110" i="19"/>
  <c r="Q11" i="16"/>
  <c r="W35" i="18" l="1"/>
  <c r="Q26" i="18"/>
  <c r="Q19" i="18"/>
  <c r="S19" i="18"/>
  <c r="S12" i="18"/>
  <c r="S11" i="18"/>
  <c r="Q12" i="18"/>
  <c r="Q11" i="18"/>
  <c r="L27" i="18"/>
  <c r="S38" i="17" l="1"/>
  <c r="Q38" i="17"/>
  <c r="P26" i="18" l="1"/>
  <c r="V35" i="18"/>
  <c r="BN52" i="17" l="1"/>
  <c r="BD50" i="17"/>
  <c r="BA50" i="17"/>
  <c r="I52" i="18"/>
  <c r="BP52" i="18"/>
  <c r="BL52" i="18"/>
  <c r="K106" i="18" l="1"/>
  <c r="J106" i="18"/>
  <c r="I106" i="18"/>
  <c r="H106" i="18"/>
  <c r="K105" i="18"/>
  <c r="J105" i="18"/>
  <c r="I105" i="18"/>
  <c r="H105" i="18"/>
  <c r="K104" i="18"/>
  <c r="J104" i="18"/>
  <c r="I104" i="18"/>
  <c r="H104" i="18"/>
  <c r="K103" i="18"/>
  <c r="J103" i="18"/>
  <c r="I103" i="18"/>
  <c r="H103" i="18"/>
  <c r="K102" i="18"/>
  <c r="J102" i="18"/>
  <c r="J110" i="18" s="1"/>
  <c r="I102" i="18"/>
  <c r="I110" i="18" s="1"/>
  <c r="H102" i="18"/>
  <c r="H110" i="18" s="1"/>
  <c r="K101" i="18"/>
  <c r="J101" i="18"/>
  <c r="I101" i="18"/>
  <c r="H101" i="18"/>
  <c r="K100" i="18"/>
  <c r="J100" i="18"/>
  <c r="I100" i="18"/>
  <c r="H100" i="18"/>
  <c r="K99" i="18"/>
  <c r="J99" i="18"/>
  <c r="I99" i="18"/>
  <c r="H99" i="18"/>
  <c r="K98" i="18"/>
  <c r="J98" i="18"/>
  <c r="I98" i="18"/>
  <c r="H98" i="18"/>
  <c r="K97" i="18"/>
  <c r="J97" i="18"/>
  <c r="I97" i="18"/>
  <c r="H97" i="18"/>
  <c r="K96" i="18"/>
  <c r="J96" i="18"/>
  <c r="I96" i="18"/>
  <c r="H96" i="18"/>
  <c r="K95" i="18"/>
  <c r="J95" i="18"/>
  <c r="I95" i="18"/>
  <c r="H95" i="18"/>
  <c r="K94" i="18"/>
  <c r="J94" i="18"/>
  <c r="I94" i="18"/>
  <c r="H94" i="18"/>
  <c r="K93" i="18"/>
  <c r="J93" i="18"/>
  <c r="I93" i="18"/>
  <c r="H93" i="18"/>
  <c r="K92" i="18"/>
  <c r="J92" i="18"/>
  <c r="I92" i="18"/>
  <c r="H92" i="18"/>
  <c r="K91" i="18"/>
  <c r="J91" i="18"/>
  <c r="I91" i="18"/>
  <c r="H91" i="18"/>
  <c r="K90" i="18"/>
  <c r="J90" i="18"/>
  <c r="I90" i="18"/>
  <c r="H90" i="18"/>
  <c r="H108" i="18" s="1"/>
  <c r="D84" i="18"/>
  <c r="C84" i="18"/>
  <c r="C83" i="18"/>
  <c r="C82" i="18"/>
  <c r="D65" i="18"/>
  <c r="CV54" i="18"/>
  <c r="CU54" i="18"/>
  <c r="CT54" i="18"/>
  <c r="CS54" i="18"/>
  <c r="CP54" i="18"/>
  <c r="CO54" i="18"/>
  <c r="CN54" i="18"/>
  <c r="CM54" i="18"/>
  <c r="CL54" i="18"/>
  <c r="CK54" i="18"/>
  <c r="CG54" i="18"/>
  <c r="BU54" i="18"/>
  <c r="BS54" i="18"/>
  <c r="BR54" i="18"/>
  <c r="BP54" i="18"/>
  <c r="BI54" i="18"/>
  <c r="BG54" i="18"/>
  <c r="BF54" i="18"/>
  <c r="BD54" i="18"/>
  <c r="AT54" i="18"/>
  <c r="AS54" i="18"/>
  <c r="AR54" i="18"/>
  <c r="AP54" i="18"/>
  <c r="AO54" i="18"/>
  <c r="AK54" i="18"/>
  <c r="Y54" i="18"/>
  <c r="V54" i="18"/>
  <c r="T54" i="18"/>
  <c r="S54" i="18"/>
  <c r="K54" i="18"/>
  <c r="J54" i="18"/>
  <c r="H54" i="18"/>
  <c r="G54" i="18"/>
  <c r="F54" i="18"/>
  <c r="CR53" i="18"/>
  <c r="CR54" i="18" s="1"/>
  <c r="CQ53" i="18"/>
  <c r="CQ54" i="18" s="1"/>
  <c r="CP53" i="18"/>
  <c r="CO53" i="18"/>
  <c r="CN53" i="18"/>
  <c r="CM53" i="18"/>
  <c r="CL53" i="18"/>
  <c r="CK53" i="18"/>
  <c r="CJ53" i="18"/>
  <c r="CJ54" i="18" s="1"/>
  <c r="CI53" i="18"/>
  <c r="CI54" i="18" s="1"/>
  <c r="CH53" i="18"/>
  <c r="CH54" i="18" s="1"/>
  <c r="CG53" i="18"/>
  <c r="CF53" i="18"/>
  <c r="CF54" i="18" s="1"/>
  <c r="CE53" i="18"/>
  <c r="CE54" i="18" s="1"/>
  <c r="CD53" i="18"/>
  <c r="CD54" i="18" s="1"/>
  <c r="CC53" i="18"/>
  <c r="CC54" i="18" s="1"/>
  <c r="CB53" i="18"/>
  <c r="CB54" i="18" s="1"/>
  <c r="CA53" i="18"/>
  <c r="BZ53" i="18"/>
  <c r="BZ54" i="18" s="1"/>
  <c r="BY53" i="18"/>
  <c r="BY54" i="18" s="1"/>
  <c r="BX53" i="18"/>
  <c r="BX54" i="18" s="1"/>
  <c r="BW53" i="18"/>
  <c r="BW54" i="18" s="1"/>
  <c r="BV53" i="18"/>
  <c r="BV54" i="18" s="1"/>
  <c r="BU53" i="18"/>
  <c r="BT53" i="18"/>
  <c r="BT54" i="18" s="1"/>
  <c r="BS53" i="18"/>
  <c r="BR53" i="18"/>
  <c r="BQ53" i="18"/>
  <c r="BQ54" i="18" s="1"/>
  <c r="BP53" i="18"/>
  <c r="BO53" i="18"/>
  <c r="BO54" i="18" s="1"/>
  <c r="BN53" i="18"/>
  <c r="BN54" i="18" s="1"/>
  <c r="BM53" i="18"/>
  <c r="BM54" i="18" s="1"/>
  <c r="BL53" i="18"/>
  <c r="BK53" i="18"/>
  <c r="BK54" i="18" s="1"/>
  <c r="BJ53" i="18"/>
  <c r="L103" i="18" s="1"/>
  <c r="BI53" i="18"/>
  <c r="L97" i="18" s="1"/>
  <c r="BH53" i="18"/>
  <c r="BH54" i="18" s="1"/>
  <c r="BG53" i="18"/>
  <c r="L105" i="18" s="1"/>
  <c r="BF53" i="18"/>
  <c r="L100" i="18" s="1"/>
  <c r="BE53" i="18"/>
  <c r="L93" i="18" s="1"/>
  <c r="BD53" i="18"/>
  <c r="L104" i="18" s="1"/>
  <c r="BC53" i="18"/>
  <c r="L98" i="18" s="1"/>
  <c r="BB53" i="18"/>
  <c r="L99" i="18" s="1"/>
  <c r="BA53" i="18"/>
  <c r="L92" i="18" s="1"/>
  <c r="AZ53" i="18"/>
  <c r="AZ54" i="18" s="1"/>
  <c r="AY53" i="18"/>
  <c r="AY54" i="18" s="1"/>
  <c r="AX53" i="18"/>
  <c r="AX54" i="18" s="1"/>
  <c r="AW53" i="18"/>
  <c r="AW54" i="18" s="1"/>
  <c r="AV53" i="18"/>
  <c r="AV54" i="18" s="1"/>
  <c r="AU53" i="18"/>
  <c r="L102" i="18" s="1"/>
  <c r="AT53" i="18"/>
  <c r="L95" i="18" s="1"/>
  <c r="AS53" i="18"/>
  <c r="L96" i="18" s="1"/>
  <c r="AR53" i="18"/>
  <c r="L90" i="18" s="1"/>
  <c r="AQ53" i="18"/>
  <c r="AQ54" i="18" s="1"/>
  <c r="AP53" i="18"/>
  <c r="AO53" i="18"/>
  <c r="AN53" i="18"/>
  <c r="AN54" i="18" s="1"/>
  <c r="AM53" i="18"/>
  <c r="AM54" i="18" s="1"/>
  <c r="AL53" i="18"/>
  <c r="AL54" i="18" s="1"/>
  <c r="AK53" i="18"/>
  <c r="AJ53" i="18"/>
  <c r="AJ54" i="18" s="1"/>
  <c r="AI53" i="18"/>
  <c r="AI54" i="18" s="1"/>
  <c r="AH53" i="18"/>
  <c r="AH54" i="18" s="1"/>
  <c r="AG53" i="18"/>
  <c r="AG54" i="18" s="1"/>
  <c r="AF53" i="18"/>
  <c r="AF54" i="18" s="1"/>
  <c r="AE53" i="18"/>
  <c r="AE54" i="18" s="1"/>
  <c r="AD53" i="18"/>
  <c r="AD54" i="18" s="1"/>
  <c r="AC53" i="18"/>
  <c r="AC54" i="18" s="1"/>
  <c r="AB53" i="18"/>
  <c r="AB54" i="18" s="1"/>
  <c r="AA53" i="18"/>
  <c r="AA54" i="18" s="1"/>
  <c r="Z53" i="18"/>
  <c r="Z54" i="18" s="1"/>
  <c r="Y53" i="18"/>
  <c r="X53" i="18"/>
  <c r="X54" i="18" s="1"/>
  <c r="W53" i="18"/>
  <c r="V53" i="18"/>
  <c r="U53" i="18"/>
  <c r="U54" i="18" s="1"/>
  <c r="T53" i="18"/>
  <c r="S53" i="18"/>
  <c r="R53" i="18"/>
  <c r="R54" i="18" s="1"/>
  <c r="Q53" i="18"/>
  <c r="Q54" i="18" s="1"/>
  <c r="P53" i="18"/>
  <c r="P54" i="18" s="1"/>
  <c r="O53" i="18"/>
  <c r="O54" i="18" s="1"/>
  <c r="N53" i="18"/>
  <c r="N54" i="18" s="1"/>
  <c r="M53" i="18"/>
  <c r="M54" i="18" s="1"/>
  <c r="K53" i="18"/>
  <c r="J53" i="18"/>
  <c r="I53" i="18"/>
  <c r="H53" i="18"/>
  <c r="G53" i="18"/>
  <c r="F53" i="18"/>
  <c r="E53" i="18"/>
  <c r="E54" i="18" s="1"/>
  <c r="D53" i="18"/>
  <c r="CW52" i="18"/>
  <c r="BL54" i="18"/>
  <c r="CW51" i="18"/>
  <c r="I54" i="18"/>
  <c r="CW49" i="18"/>
  <c r="CW48" i="18"/>
  <c r="CW47" i="18"/>
  <c r="CW46" i="18"/>
  <c r="CW45" i="18"/>
  <c r="CW44" i="18"/>
  <c r="D72" i="18" s="1"/>
  <c r="CW43" i="18"/>
  <c r="CW42" i="18"/>
  <c r="D83" i="18" s="1"/>
  <c r="CW41" i="18"/>
  <c r="D71" i="18" s="1"/>
  <c r="CW40" i="18"/>
  <c r="D82" i="18" s="1"/>
  <c r="CW39" i="18"/>
  <c r="D70" i="18" s="1"/>
  <c r="L53" i="18"/>
  <c r="CW37" i="18"/>
  <c r="D69" i="18" s="1"/>
  <c r="CW36" i="18"/>
  <c r="D80" i="18" s="1"/>
  <c r="CW34" i="18"/>
  <c r="D68" i="18" s="1"/>
  <c r="CW33" i="18"/>
  <c r="D79" i="18" s="1"/>
  <c r="CW32" i="18"/>
  <c r="D67" i="18" s="1"/>
  <c r="CW31" i="18"/>
  <c r="D66" i="18" s="1"/>
  <c r="CW30" i="18"/>
  <c r="D78" i="18" s="1"/>
  <c r="CW29" i="18"/>
  <c r="CW28" i="18"/>
  <c r="CW27" i="18"/>
  <c r="D63" i="18" s="1"/>
  <c r="CW26" i="18"/>
  <c r="CW25" i="18"/>
  <c r="CW24" i="18"/>
  <c r="CW23" i="18"/>
  <c r="CW22" i="18"/>
  <c r="CW21" i="18"/>
  <c r="CW20" i="18"/>
  <c r="CW19" i="18"/>
  <c r="CW18" i="18"/>
  <c r="CW17" i="18"/>
  <c r="D74" i="18" s="1"/>
  <c r="CW16" i="18"/>
  <c r="CW15" i="18"/>
  <c r="CW14" i="18"/>
  <c r="CW13" i="18"/>
  <c r="CW12" i="18"/>
  <c r="CW11" i="18"/>
  <c r="CW10" i="18"/>
  <c r="CW9" i="18"/>
  <c r="BE54" i="18" l="1"/>
  <c r="L94" i="18"/>
  <c r="D61" i="18"/>
  <c r="D64" i="18"/>
  <c r="D76" i="18"/>
  <c r="BB54" i="18"/>
  <c r="L91" i="18"/>
  <c r="K109" i="18"/>
  <c r="D75" i="18"/>
  <c r="BC54" i="18"/>
  <c r="I109" i="18"/>
  <c r="H109" i="18"/>
  <c r="BJ54" i="18"/>
  <c r="CA54" i="18"/>
  <c r="AU54" i="18"/>
  <c r="D77" i="18"/>
  <c r="K110" i="18"/>
  <c r="I108" i="18"/>
  <c r="J108" i="18"/>
  <c r="D62" i="18"/>
  <c r="BA54" i="18"/>
  <c r="K108" i="18"/>
  <c r="J109" i="18"/>
  <c r="CW53" i="18"/>
  <c r="CW35" i="18"/>
  <c r="W54" i="18"/>
  <c r="L108" i="18"/>
  <c r="CW50" i="18"/>
  <c r="D54" i="18"/>
  <c r="L101" i="18"/>
  <c r="CW38" i="18"/>
  <c r="D81" i="18" s="1"/>
  <c r="L54" i="18"/>
  <c r="L106" i="18"/>
  <c r="D60" i="18" l="1"/>
  <c r="L110" i="18"/>
  <c r="D73" i="18"/>
  <c r="L109" i="18"/>
  <c r="CW54" i="18"/>
  <c r="W35" i="17" l="1"/>
  <c r="Q38" i="16" l="1"/>
  <c r="V35" i="17" l="1"/>
  <c r="L38" i="17"/>
  <c r="M51" i="16" l="1"/>
  <c r="L51" i="16"/>
  <c r="L53" i="16"/>
  <c r="BC50" i="16" l="1"/>
  <c r="BA52" i="16"/>
  <c r="BP52" i="17"/>
  <c r="BM52" i="17"/>
  <c r="I50" i="17"/>
  <c r="BL52" i="17"/>
  <c r="K106" i="17" l="1"/>
  <c r="J106" i="17"/>
  <c r="I106" i="17"/>
  <c r="H106" i="17"/>
  <c r="L105" i="17"/>
  <c r="K105" i="17"/>
  <c r="J105" i="17"/>
  <c r="I105" i="17"/>
  <c r="H105" i="17"/>
  <c r="K104" i="17"/>
  <c r="J104" i="17"/>
  <c r="I104" i="17"/>
  <c r="H104" i="17"/>
  <c r="K103" i="17"/>
  <c r="J103" i="17"/>
  <c r="I103" i="17"/>
  <c r="I110" i="17" s="1"/>
  <c r="H103" i="17"/>
  <c r="K102" i="17"/>
  <c r="J102" i="17"/>
  <c r="I102" i="17"/>
  <c r="H102" i="17"/>
  <c r="K101" i="17"/>
  <c r="J101" i="17"/>
  <c r="I101" i="17"/>
  <c r="H101" i="17"/>
  <c r="L100" i="17"/>
  <c r="K100" i="17"/>
  <c r="J100" i="17"/>
  <c r="I100" i="17"/>
  <c r="H100" i="17"/>
  <c r="K99" i="17"/>
  <c r="J99" i="17"/>
  <c r="I99" i="17"/>
  <c r="H99" i="17"/>
  <c r="K98" i="17"/>
  <c r="J98" i="17"/>
  <c r="I98" i="17"/>
  <c r="H98" i="17"/>
  <c r="K97" i="17"/>
  <c r="J97" i="17"/>
  <c r="I97" i="17"/>
  <c r="H97" i="17"/>
  <c r="K96" i="17"/>
  <c r="J96" i="17"/>
  <c r="I96" i="17"/>
  <c r="H96" i="17"/>
  <c r="K95" i="17"/>
  <c r="J95" i="17"/>
  <c r="J109" i="17" s="1"/>
  <c r="I95" i="17"/>
  <c r="H95" i="17"/>
  <c r="K94" i="17"/>
  <c r="J94" i="17"/>
  <c r="I94" i="17"/>
  <c r="H94" i="17"/>
  <c r="K93" i="17"/>
  <c r="J93" i="17"/>
  <c r="I93" i="17"/>
  <c r="H93" i="17"/>
  <c r="L92" i="17"/>
  <c r="K92" i="17"/>
  <c r="J92" i="17"/>
  <c r="I92" i="17"/>
  <c r="H92" i="17"/>
  <c r="K91" i="17"/>
  <c r="J91" i="17"/>
  <c r="I91" i="17"/>
  <c r="H91" i="17"/>
  <c r="L90" i="17"/>
  <c r="K90" i="17"/>
  <c r="J90" i="17"/>
  <c r="I90" i="17"/>
  <c r="I108" i="17" s="1"/>
  <c r="H90" i="17"/>
  <c r="C84" i="17"/>
  <c r="C83" i="17"/>
  <c r="C82" i="17"/>
  <c r="D66" i="17"/>
  <c r="CV54" i="17"/>
  <c r="CU54" i="17"/>
  <c r="CT54" i="17"/>
  <c r="CS54" i="17"/>
  <c r="CA54" i="17"/>
  <c r="BG54" i="17"/>
  <c r="BC54" i="17"/>
  <c r="BA54" i="17"/>
  <c r="AI54" i="17"/>
  <c r="AE54" i="17"/>
  <c r="AD54" i="17"/>
  <c r="G54" i="17"/>
  <c r="F54" i="17"/>
  <c r="CR53" i="17"/>
  <c r="CR54" i="17" s="1"/>
  <c r="CQ53" i="17"/>
  <c r="CQ54" i="17" s="1"/>
  <c r="CP53" i="17"/>
  <c r="CP54" i="17" s="1"/>
  <c r="CO53" i="17"/>
  <c r="CO54" i="17" s="1"/>
  <c r="CN53" i="17"/>
  <c r="CN54" i="17" s="1"/>
  <c r="CM53" i="17"/>
  <c r="CM54" i="17" s="1"/>
  <c r="CL53" i="17"/>
  <c r="CL54" i="17" s="1"/>
  <c r="CK53" i="17"/>
  <c r="CK54" i="17" s="1"/>
  <c r="CJ53" i="17"/>
  <c r="CJ54" i="17" s="1"/>
  <c r="CI53" i="17"/>
  <c r="CI54" i="17" s="1"/>
  <c r="CH53" i="17"/>
  <c r="CH54" i="17" s="1"/>
  <c r="CG53" i="17"/>
  <c r="CG54" i="17" s="1"/>
  <c r="CF53" i="17"/>
  <c r="CF54" i="17" s="1"/>
  <c r="CE53" i="17"/>
  <c r="CE54" i="17" s="1"/>
  <c r="CD53" i="17"/>
  <c r="CD54" i="17" s="1"/>
  <c r="CC53" i="17"/>
  <c r="CC54" i="17" s="1"/>
  <c r="CB53" i="17"/>
  <c r="CB54" i="17" s="1"/>
  <c r="CA53" i="17"/>
  <c r="BZ53" i="17"/>
  <c r="BZ54" i="17" s="1"/>
  <c r="BY53" i="17"/>
  <c r="BY54" i="17" s="1"/>
  <c r="BX53" i="17"/>
  <c r="BX54" i="17" s="1"/>
  <c r="BW53" i="17"/>
  <c r="BW54" i="17" s="1"/>
  <c r="BV53" i="17"/>
  <c r="BV54" i="17" s="1"/>
  <c r="BU53" i="17"/>
  <c r="BU54" i="17" s="1"/>
  <c r="BT53" i="17"/>
  <c r="BT54" i="17" s="1"/>
  <c r="BS53" i="17"/>
  <c r="BS54" i="17" s="1"/>
  <c r="BR53" i="17"/>
  <c r="BR54" i="17" s="1"/>
  <c r="BQ53" i="17"/>
  <c r="BQ54" i="17" s="1"/>
  <c r="BP53" i="17"/>
  <c r="BO53" i="17"/>
  <c r="BO54" i="17" s="1"/>
  <c r="BN53" i="17"/>
  <c r="BN54" i="17" s="1"/>
  <c r="BM53" i="17"/>
  <c r="BM54" i="17" s="1"/>
  <c r="BL53" i="17"/>
  <c r="BL54" i="17" s="1"/>
  <c r="BK53" i="17"/>
  <c r="BK54" i="17" s="1"/>
  <c r="BJ53" i="17"/>
  <c r="L103" i="17" s="1"/>
  <c r="BI53" i="17"/>
  <c r="BI54" i="17" s="1"/>
  <c r="BH53" i="17"/>
  <c r="L91" i="17" s="1"/>
  <c r="BG53" i="17"/>
  <c r="BF53" i="17"/>
  <c r="BF54" i="17" s="1"/>
  <c r="BE53" i="17"/>
  <c r="BE54" i="17" s="1"/>
  <c r="BD53" i="17"/>
  <c r="BD54" i="17" s="1"/>
  <c r="BC53" i="17"/>
  <c r="L98" i="17" s="1"/>
  <c r="BB53" i="17"/>
  <c r="L99" i="17" s="1"/>
  <c r="BA53" i="17"/>
  <c r="AZ53" i="17"/>
  <c r="AZ54" i="17" s="1"/>
  <c r="AY53" i="17"/>
  <c r="AY54" i="17" s="1"/>
  <c r="AX53" i="17"/>
  <c r="AX54" i="17" s="1"/>
  <c r="AW53" i="17"/>
  <c r="AW54" i="17" s="1"/>
  <c r="AV53" i="17"/>
  <c r="AV54" i="17" s="1"/>
  <c r="AU53" i="17"/>
  <c r="L102" i="17" s="1"/>
  <c r="AT53" i="17"/>
  <c r="L95" i="17" s="1"/>
  <c r="AS53" i="17"/>
  <c r="AR53" i="17"/>
  <c r="AR54" i="17" s="1"/>
  <c r="AQ53" i="17"/>
  <c r="AQ54" i="17" s="1"/>
  <c r="AP53" i="17"/>
  <c r="AP54" i="17" s="1"/>
  <c r="AO53" i="17"/>
  <c r="AO54" i="17" s="1"/>
  <c r="AN53" i="17"/>
  <c r="AN54" i="17" s="1"/>
  <c r="AM53" i="17"/>
  <c r="AM54" i="17" s="1"/>
  <c r="AL53" i="17"/>
  <c r="AL54" i="17" s="1"/>
  <c r="AK53" i="17"/>
  <c r="AK54" i="17" s="1"/>
  <c r="AJ53" i="17"/>
  <c r="AJ54" i="17" s="1"/>
  <c r="AH54" i="17"/>
  <c r="AG53" i="17"/>
  <c r="AG54" i="17" s="1"/>
  <c r="AF53" i="17"/>
  <c r="AF54" i="17" s="1"/>
  <c r="AE53" i="17"/>
  <c r="AD53" i="17"/>
  <c r="AC53" i="17"/>
  <c r="AC54" i="17" s="1"/>
  <c r="AB53" i="17"/>
  <c r="AB54" i="17" s="1"/>
  <c r="AA53" i="17"/>
  <c r="AA54" i="17" s="1"/>
  <c r="Z53" i="17"/>
  <c r="Z54" i="17" s="1"/>
  <c r="Y53" i="17"/>
  <c r="Y54" i="17" s="1"/>
  <c r="X53" i="17"/>
  <c r="X54" i="17" s="1"/>
  <c r="W53" i="17"/>
  <c r="W54" i="17" s="1"/>
  <c r="V53" i="17"/>
  <c r="V54" i="17" s="1"/>
  <c r="U53" i="17"/>
  <c r="U54" i="17" s="1"/>
  <c r="T53" i="17"/>
  <c r="T54" i="17" s="1"/>
  <c r="S53" i="17"/>
  <c r="S54" i="17" s="1"/>
  <c r="R53" i="17"/>
  <c r="R54" i="17" s="1"/>
  <c r="Q53" i="17"/>
  <c r="P53" i="17"/>
  <c r="P54" i="17" s="1"/>
  <c r="O53" i="17"/>
  <c r="O54" i="17" s="1"/>
  <c r="N53" i="17"/>
  <c r="N54" i="17" s="1"/>
  <c r="M53" i="17"/>
  <c r="L53" i="17"/>
  <c r="L54" i="17" s="1"/>
  <c r="K53" i="17"/>
  <c r="K54" i="17" s="1"/>
  <c r="J53" i="17"/>
  <c r="J54" i="17" s="1"/>
  <c r="I53" i="17"/>
  <c r="I54" i="17" s="1"/>
  <c r="H53" i="17"/>
  <c r="H54" i="17" s="1"/>
  <c r="G53" i="17"/>
  <c r="F53" i="17"/>
  <c r="E53" i="17"/>
  <c r="E54" i="17" s="1"/>
  <c r="D53" i="17"/>
  <c r="D54" i="17" s="1"/>
  <c r="CW52" i="17"/>
  <c r="BP54" i="17"/>
  <c r="CW51" i="17"/>
  <c r="CW50" i="17"/>
  <c r="CW49" i="17"/>
  <c r="CW48" i="17"/>
  <c r="CW47" i="17"/>
  <c r="CW46" i="17"/>
  <c r="CW45" i="17"/>
  <c r="CW44" i="17"/>
  <c r="D72" i="17" s="1"/>
  <c r="CW43" i="17"/>
  <c r="D84" i="17" s="1"/>
  <c r="CW42" i="17"/>
  <c r="D83" i="17" s="1"/>
  <c r="CW41" i="17"/>
  <c r="D71" i="17" s="1"/>
  <c r="CW40" i="17"/>
  <c r="D82" i="17" s="1"/>
  <c r="CW39" i="17"/>
  <c r="D70" i="17" s="1"/>
  <c r="CW38" i="17"/>
  <c r="D81" i="17" s="1"/>
  <c r="CW37" i="17"/>
  <c r="D69" i="17" s="1"/>
  <c r="CW36" i="17"/>
  <c r="D80" i="17" s="1"/>
  <c r="CW35" i="17"/>
  <c r="CW34" i="17"/>
  <c r="D68" i="17" s="1"/>
  <c r="CW33" i="17"/>
  <c r="D79" i="17" s="1"/>
  <c r="CW32" i="17"/>
  <c r="D67" i="17" s="1"/>
  <c r="CW31" i="17"/>
  <c r="CW30" i="17"/>
  <c r="D78" i="17" s="1"/>
  <c r="CW29" i="17"/>
  <c r="CW28" i="17"/>
  <c r="CW27" i="17"/>
  <c r="D63" i="17" s="1"/>
  <c r="CW26" i="17"/>
  <c r="CW25" i="17"/>
  <c r="CW24" i="17"/>
  <c r="CW23" i="17"/>
  <c r="CW22" i="17"/>
  <c r="D65" i="17" s="1"/>
  <c r="CW21" i="17"/>
  <c r="CW20" i="17"/>
  <c r="CW19" i="17"/>
  <c r="CW18" i="17"/>
  <c r="CW17" i="17"/>
  <c r="D74" i="17" s="1"/>
  <c r="CW16" i="17"/>
  <c r="CW15" i="17"/>
  <c r="CW14" i="17"/>
  <c r="CW13" i="17"/>
  <c r="CW12" i="17"/>
  <c r="CW11" i="17"/>
  <c r="Q54" i="17"/>
  <c r="CW10" i="17"/>
  <c r="CW9" i="17"/>
  <c r="K110" i="17" l="1"/>
  <c r="K108" i="17"/>
  <c r="BJ54" i="17"/>
  <c r="D61" i="17"/>
  <c r="D75" i="17"/>
  <c r="L93" i="17"/>
  <c r="D77" i="17"/>
  <c r="BH54" i="17"/>
  <c r="CW53" i="17"/>
  <c r="J110" i="17"/>
  <c r="K109" i="17"/>
  <c r="J108" i="17"/>
  <c r="D76" i="17"/>
  <c r="H109" i="17"/>
  <c r="AU54" i="17"/>
  <c r="L104" i="17"/>
  <c r="L110" i="17" s="1"/>
  <c r="L106" i="17"/>
  <c r="D62" i="17"/>
  <c r="D64" i="17"/>
  <c r="L94" i="17"/>
  <c r="L108" i="17" s="1"/>
  <c r="H110" i="17"/>
  <c r="BB54" i="17"/>
  <c r="AT54" i="17"/>
  <c r="L101" i="17"/>
  <c r="L97" i="17"/>
  <c r="M54" i="17"/>
  <c r="AS54" i="17"/>
  <c r="L96" i="17"/>
  <c r="I109" i="17"/>
  <c r="H108" i="17"/>
  <c r="S52" i="15"/>
  <c r="D73" i="17" l="1"/>
  <c r="D60" i="17"/>
  <c r="CW54" i="17"/>
  <c r="L109" i="17"/>
  <c r="E28" i="16"/>
  <c r="Q38" i="15" l="1"/>
  <c r="W35" i="16" l="1"/>
  <c r="V35" i="16"/>
  <c r="BD52" i="15" l="1"/>
  <c r="BD50" i="15"/>
  <c r="BB52" i="15"/>
  <c r="BB50" i="15"/>
  <c r="BC52" i="15"/>
  <c r="BC50" i="15"/>
  <c r="BA52" i="15"/>
  <c r="BA50" i="15"/>
  <c r="BP52" i="16"/>
  <c r="W35" i="15" l="1"/>
  <c r="K106" i="16"/>
  <c r="J106" i="16"/>
  <c r="I106" i="16"/>
  <c r="H106" i="16"/>
  <c r="K105" i="16"/>
  <c r="J105" i="16"/>
  <c r="I105" i="16"/>
  <c r="H105" i="16"/>
  <c r="K104" i="16"/>
  <c r="J104" i="16"/>
  <c r="I104" i="16"/>
  <c r="H104" i="16"/>
  <c r="K103" i="16"/>
  <c r="J103" i="16"/>
  <c r="I103" i="16"/>
  <c r="H103" i="16"/>
  <c r="K102" i="16"/>
  <c r="J102" i="16"/>
  <c r="I102" i="16"/>
  <c r="I110" i="16" s="1"/>
  <c r="H102" i="16"/>
  <c r="K101" i="16"/>
  <c r="J101" i="16"/>
  <c r="I101" i="16"/>
  <c r="H101" i="16"/>
  <c r="K100" i="16"/>
  <c r="J100" i="16"/>
  <c r="I100" i="16"/>
  <c r="H100" i="16"/>
  <c r="K99" i="16"/>
  <c r="J99" i="16"/>
  <c r="I99" i="16"/>
  <c r="H99" i="16"/>
  <c r="K98" i="16"/>
  <c r="J98" i="16"/>
  <c r="I98" i="16"/>
  <c r="H98" i="16"/>
  <c r="K97" i="16"/>
  <c r="J97" i="16"/>
  <c r="I97" i="16"/>
  <c r="H97" i="16"/>
  <c r="K96" i="16"/>
  <c r="J96" i="16"/>
  <c r="I96" i="16"/>
  <c r="I109" i="16" s="1"/>
  <c r="H96" i="16"/>
  <c r="K95" i="16"/>
  <c r="J95" i="16"/>
  <c r="I95" i="16"/>
  <c r="H95" i="16"/>
  <c r="K94" i="16"/>
  <c r="J94" i="16"/>
  <c r="I94" i="16"/>
  <c r="H94" i="16"/>
  <c r="K93" i="16"/>
  <c r="J93" i="16"/>
  <c r="I93" i="16"/>
  <c r="H93" i="16"/>
  <c r="K92" i="16"/>
  <c r="J92" i="16"/>
  <c r="I92" i="16"/>
  <c r="H92" i="16"/>
  <c r="K91" i="16"/>
  <c r="J91" i="16"/>
  <c r="I91" i="16"/>
  <c r="H91" i="16"/>
  <c r="K90" i="16"/>
  <c r="J90" i="16"/>
  <c r="I90" i="16"/>
  <c r="H90" i="16"/>
  <c r="C84" i="16"/>
  <c r="C83" i="16"/>
  <c r="C82" i="16"/>
  <c r="CV54" i="16"/>
  <c r="CU54" i="16"/>
  <c r="CT54" i="16"/>
  <c r="CS54" i="16"/>
  <c r="CR54" i="16"/>
  <c r="CJ54" i="16"/>
  <c r="CI54" i="16"/>
  <c r="BX54" i="16"/>
  <c r="BW54" i="16"/>
  <c r="BS54" i="16"/>
  <c r="BL54" i="16"/>
  <c r="BK54" i="16"/>
  <c r="BG54" i="16"/>
  <c r="BF54" i="16"/>
  <c r="AJ54" i="16"/>
  <c r="AI54" i="16"/>
  <c r="AB54" i="16"/>
  <c r="AA54" i="16"/>
  <c r="P54" i="16"/>
  <c r="O54" i="16"/>
  <c r="CR53" i="16"/>
  <c r="CQ53" i="16"/>
  <c r="CQ54" i="16" s="1"/>
  <c r="CP53" i="16"/>
  <c r="CP54" i="16" s="1"/>
  <c r="CO53" i="16"/>
  <c r="CO54" i="16" s="1"/>
  <c r="CN53" i="16"/>
  <c r="CN54" i="16" s="1"/>
  <c r="CM53" i="16"/>
  <c r="CM54" i="16" s="1"/>
  <c r="CL53" i="16"/>
  <c r="CL54" i="16" s="1"/>
  <c r="CK53" i="16"/>
  <c r="CK54" i="16" s="1"/>
  <c r="CJ53" i="16"/>
  <c r="CI53" i="16"/>
  <c r="CH53" i="16"/>
  <c r="CH54" i="16" s="1"/>
  <c r="CG53" i="16"/>
  <c r="CG54" i="16" s="1"/>
  <c r="CF53" i="16"/>
  <c r="CF54" i="16" s="1"/>
  <c r="CE53" i="16"/>
  <c r="CE54" i="16" s="1"/>
  <c r="CD53" i="16"/>
  <c r="CD54" i="16" s="1"/>
  <c r="CC53" i="16"/>
  <c r="CC54" i="16" s="1"/>
  <c r="CB53" i="16"/>
  <c r="CB54" i="16" s="1"/>
  <c r="CA53" i="16"/>
  <c r="CA54" i="16" s="1"/>
  <c r="BZ53" i="16"/>
  <c r="BZ54" i="16" s="1"/>
  <c r="BY53" i="16"/>
  <c r="BY54" i="16" s="1"/>
  <c r="BX53" i="16"/>
  <c r="BW53" i="16"/>
  <c r="BV53" i="16"/>
  <c r="BV54" i="16" s="1"/>
  <c r="BU53" i="16"/>
  <c r="BU54" i="16" s="1"/>
  <c r="BT53" i="16"/>
  <c r="BT54" i="16" s="1"/>
  <c r="BS53" i="16"/>
  <c r="BR53" i="16"/>
  <c r="BR54" i="16" s="1"/>
  <c r="BQ53" i="16"/>
  <c r="BQ54" i="16" s="1"/>
  <c r="BP53" i="16"/>
  <c r="BP54" i="16" s="1"/>
  <c r="BO53" i="16"/>
  <c r="BO54" i="16" s="1"/>
  <c r="BN53" i="16"/>
  <c r="BN54" i="16" s="1"/>
  <c r="BM53" i="16"/>
  <c r="BM54" i="16" s="1"/>
  <c r="BL53" i="16"/>
  <c r="BK53" i="16"/>
  <c r="BJ53" i="16"/>
  <c r="L103" i="16" s="1"/>
  <c r="BI53" i="16"/>
  <c r="BI54" i="16" s="1"/>
  <c r="BH53" i="16"/>
  <c r="L91" i="16" s="1"/>
  <c r="BG53" i="16"/>
  <c r="L105" i="16" s="1"/>
  <c r="BF53" i="16"/>
  <c r="L100" i="16" s="1"/>
  <c r="BE53" i="16"/>
  <c r="L93" i="16" s="1"/>
  <c r="BD53" i="16"/>
  <c r="L104" i="16" s="1"/>
  <c r="BC53" i="16"/>
  <c r="L98" i="16" s="1"/>
  <c r="BB53" i="16"/>
  <c r="BB54" i="16" s="1"/>
  <c r="BA53" i="16"/>
  <c r="L92" i="16" s="1"/>
  <c r="AZ53" i="16"/>
  <c r="AZ54" i="16" s="1"/>
  <c r="AY53" i="16"/>
  <c r="L106" i="16" s="1"/>
  <c r="AX53" i="16"/>
  <c r="AX54" i="16" s="1"/>
  <c r="AW53" i="16"/>
  <c r="AW54" i="16" s="1"/>
  <c r="AV53" i="16"/>
  <c r="AV54" i="16" s="1"/>
  <c r="AU53" i="16"/>
  <c r="L102" i="16" s="1"/>
  <c r="AT53" i="16"/>
  <c r="L95" i="16" s="1"/>
  <c r="AS53" i="16"/>
  <c r="AS54" i="16" s="1"/>
  <c r="AR53" i="16"/>
  <c r="L90" i="16" s="1"/>
  <c r="AQ53" i="16"/>
  <c r="AQ54" i="16" s="1"/>
  <c r="AP53" i="16"/>
  <c r="AP54" i="16" s="1"/>
  <c r="AO53" i="16"/>
  <c r="AO54" i="16" s="1"/>
  <c r="AN53" i="16"/>
  <c r="AN54" i="16" s="1"/>
  <c r="AM53" i="16"/>
  <c r="AM54" i="16" s="1"/>
  <c r="AL53" i="16"/>
  <c r="AL54" i="16" s="1"/>
  <c r="AK53" i="16"/>
  <c r="AK54" i="16" s="1"/>
  <c r="AJ53" i="16"/>
  <c r="AI53" i="16"/>
  <c r="AH53" i="16"/>
  <c r="AH54" i="16" s="1"/>
  <c r="AG53" i="16"/>
  <c r="AG54" i="16" s="1"/>
  <c r="AF53" i="16"/>
  <c r="AF54" i="16" s="1"/>
  <c r="AE53" i="16"/>
  <c r="AE54" i="16" s="1"/>
  <c r="AD53" i="16"/>
  <c r="AD54" i="16" s="1"/>
  <c r="AC53" i="16"/>
  <c r="AC54" i="16" s="1"/>
  <c r="AB53" i="16"/>
  <c r="AA53" i="16"/>
  <c r="Z53" i="16"/>
  <c r="Z54" i="16" s="1"/>
  <c r="Y53" i="16"/>
  <c r="Y54" i="16" s="1"/>
  <c r="X53" i="16"/>
  <c r="X54" i="16" s="1"/>
  <c r="W53" i="16"/>
  <c r="W54" i="16" s="1"/>
  <c r="V53" i="16"/>
  <c r="V54" i="16" s="1"/>
  <c r="U53" i="16"/>
  <c r="U54" i="16" s="1"/>
  <c r="T53" i="16"/>
  <c r="T54" i="16" s="1"/>
  <c r="S53" i="16"/>
  <c r="S54" i="16" s="1"/>
  <c r="R53" i="16"/>
  <c r="R54" i="16" s="1"/>
  <c r="Q53" i="16"/>
  <c r="Q54" i="16" s="1"/>
  <c r="P53" i="16"/>
  <c r="O53" i="16"/>
  <c r="N53" i="16"/>
  <c r="N54" i="16" s="1"/>
  <c r="M53" i="16"/>
  <c r="M54" i="16" s="1"/>
  <c r="L54" i="16"/>
  <c r="K53" i="16"/>
  <c r="K54" i="16" s="1"/>
  <c r="J53" i="16"/>
  <c r="J54" i="16" s="1"/>
  <c r="I53" i="16"/>
  <c r="I54" i="16" s="1"/>
  <c r="H53" i="16"/>
  <c r="H54" i="16" s="1"/>
  <c r="G53" i="16"/>
  <c r="G54" i="16" s="1"/>
  <c r="F53" i="16"/>
  <c r="D53" i="16"/>
  <c r="D54" i="16" s="1"/>
  <c r="CW51" i="16"/>
  <c r="CW50" i="16"/>
  <c r="CW49" i="16"/>
  <c r="CW48" i="16"/>
  <c r="CW47" i="16"/>
  <c r="CW46" i="16"/>
  <c r="CW45" i="16"/>
  <c r="CW44" i="16"/>
  <c r="D72" i="16" s="1"/>
  <c r="CW43" i="16"/>
  <c r="D84" i="16" s="1"/>
  <c r="CW42" i="16"/>
  <c r="D83" i="16" s="1"/>
  <c r="CW41" i="16"/>
  <c r="D71" i="16" s="1"/>
  <c r="CW39" i="16"/>
  <c r="D70" i="16" s="1"/>
  <c r="CW38" i="16"/>
  <c r="D81" i="16" s="1"/>
  <c r="CW37" i="16"/>
  <c r="D69" i="16" s="1"/>
  <c r="CW36" i="16"/>
  <c r="D80" i="16" s="1"/>
  <c r="CW35" i="16"/>
  <c r="CW34" i="16"/>
  <c r="D68" i="16" s="1"/>
  <c r="CW33" i="16"/>
  <c r="D79" i="16" s="1"/>
  <c r="CW32" i="16"/>
  <c r="D67" i="16" s="1"/>
  <c r="CW31" i="16"/>
  <c r="D66" i="16" s="1"/>
  <c r="CW30" i="16"/>
  <c r="D78" i="16" s="1"/>
  <c r="CW29" i="16"/>
  <c r="CW28" i="16"/>
  <c r="D77" i="16" s="1"/>
  <c r="CW26" i="16"/>
  <c r="CW25" i="16"/>
  <c r="CW24" i="16"/>
  <c r="CW23" i="16"/>
  <c r="CW22" i="16"/>
  <c r="D65" i="16" s="1"/>
  <c r="CW21" i="16"/>
  <c r="CW20" i="16"/>
  <c r="CW19" i="16"/>
  <c r="CW18" i="16"/>
  <c r="D61" i="16" s="1"/>
  <c r="CW17" i="16"/>
  <c r="D74" i="16" s="1"/>
  <c r="CW16" i="16"/>
  <c r="CW15" i="16"/>
  <c r="CW14" i="16"/>
  <c r="CW13" i="16"/>
  <c r="CW12" i="16"/>
  <c r="CW11" i="16"/>
  <c r="D62" i="16" s="1"/>
  <c r="CW10" i="16"/>
  <c r="CW9" i="16"/>
  <c r="F53" i="15"/>
  <c r="K110" i="16" l="1"/>
  <c r="D64" i="16"/>
  <c r="AY54" i="16"/>
  <c r="BA54" i="16"/>
  <c r="J110" i="16"/>
  <c r="L99" i="16"/>
  <c r="D75" i="16"/>
  <c r="BH54" i="16"/>
  <c r="BJ54" i="16"/>
  <c r="L97" i="16"/>
  <c r="D76" i="16"/>
  <c r="H108" i="16"/>
  <c r="AT54" i="16"/>
  <c r="I108" i="16"/>
  <c r="J109" i="16"/>
  <c r="AU54" i="16"/>
  <c r="J108" i="16"/>
  <c r="K109" i="16"/>
  <c r="H110" i="16"/>
  <c r="K108" i="16"/>
  <c r="H109" i="16"/>
  <c r="L109" i="16"/>
  <c r="L110" i="16"/>
  <c r="CW27" i="16"/>
  <c r="D63" i="16" s="1"/>
  <c r="D60" i="16" s="1"/>
  <c r="F54" i="16"/>
  <c r="L101" i="16"/>
  <c r="CW40" i="16"/>
  <c r="D82" i="16" s="1"/>
  <c r="CW52" i="16"/>
  <c r="E53" i="16"/>
  <c r="CW53" i="16" s="1"/>
  <c r="BC54" i="16"/>
  <c r="L96" i="16"/>
  <c r="AR54" i="16"/>
  <c r="BD54" i="16"/>
  <c r="L94" i="16"/>
  <c r="L108" i="16" s="1"/>
  <c r="BE54" i="16"/>
  <c r="S52" i="14"/>
  <c r="CW52" i="14" s="1"/>
  <c r="D73" i="16" l="1"/>
  <c r="E54" i="16"/>
  <c r="L22" i="15"/>
  <c r="F28" i="15"/>
  <c r="M27" i="15"/>
  <c r="L27" i="15"/>
  <c r="CW54" i="16" l="1"/>
  <c r="F40" i="15"/>
  <c r="E40" i="15"/>
  <c r="D62" i="14" l="1"/>
  <c r="V35" i="15"/>
  <c r="F53" i="14"/>
  <c r="BP52" i="15" l="1"/>
  <c r="K106" i="15" l="1"/>
  <c r="J106" i="15"/>
  <c r="I106" i="15"/>
  <c r="H106" i="15"/>
  <c r="K105" i="15"/>
  <c r="J105" i="15"/>
  <c r="I105" i="15"/>
  <c r="H105" i="15"/>
  <c r="K104" i="15"/>
  <c r="J104" i="15"/>
  <c r="J110" i="15" s="1"/>
  <c r="I104" i="15"/>
  <c r="H104" i="15"/>
  <c r="K103" i="15"/>
  <c r="J103" i="15"/>
  <c r="I103" i="15"/>
  <c r="H103" i="15"/>
  <c r="K102" i="15"/>
  <c r="J102" i="15"/>
  <c r="I102" i="15"/>
  <c r="I110" i="15" s="1"/>
  <c r="H102" i="15"/>
  <c r="K101" i="15"/>
  <c r="J101" i="15"/>
  <c r="I101" i="15"/>
  <c r="H101" i="15"/>
  <c r="K100" i="15"/>
  <c r="J100" i="15"/>
  <c r="I100" i="15"/>
  <c r="H100" i="15"/>
  <c r="L99" i="15"/>
  <c r="K99" i="15"/>
  <c r="J99" i="15"/>
  <c r="I99" i="15"/>
  <c r="H99" i="15"/>
  <c r="K98" i="15"/>
  <c r="J98" i="15"/>
  <c r="I98" i="15"/>
  <c r="H98" i="15"/>
  <c r="K97" i="15"/>
  <c r="J97" i="15"/>
  <c r="I97" i="15"/>
  <c r="H97" i="15"/>
  <c r="K96" i="15"/>
  <c r="J96" i="15"/>
  <c r="I96" i="15"/>
  <c r="I109" i="15" s="1"/>
  <c r="H96" i="15"/>
  <c r="K95" i="15"/>
  <c r="J95" i="15"/>
  <c r="I95" i="15"/>
  <c r="H95" i="15"/>
  <c r="K94" i="15"/>
  <c r="J94" i="15"/>
  <c r="I94" i="15"/>
  <c r="H94" i="15"/>
  <c r="K93" i="15"/>
  <c r="J93" i="15"/>
  <c r="I93" i="15"/>
  <c r="H93" i="15"/>
  <c r="K92" i="15"/>
  <c r="J92" i="15"/>
  <c r="I92" i="15"/>
  <c r="H92" i="15"/>
  <c r="K91" i="15"/>
  <c r="J91" i="15"/>
  <c r="I91" i="15"/>
  <c r="H91" i="15"/>
  <c r="K90" i="15"/>
  <c r="J90" i="15"/>
  <c r="I90" i="15"/>
  <c r="H90" i="15"/>
  <c r="C84" i="15"/>
  <c r="D83" i="15"/>
  <c r="C83" i="15"/>
  <c r="C82" i="15"/>
  <c r="D78" i="15"/>
  <c r="D69" i="15"/>
  <c r="CV54" i="15"/>
  <c r="CU54" i="15"/>
  <c r="CT54" i="15"/>
  <c r="CS54" i="15"/>
  <c r="CL54" i="15"/>
  <c r="CK54" i="15"/>
  <c r="CJ54" i="15"/>
  <c r="CI54" i="15"/>
  <c r="BZ54" i="15"/>
  <c r="BN54" i="15"/>
  <c r="BM54" i="15"/>
  <c r="BL54" i="15"/>
  <c r="BK54" i="15"/>
  <c r="BH54" i="15"/>
  <c r="BB54" i="15"/>
  <c r="BA54" i="15"/>
  <c r="AZ54" i="15"/>
  <c r="AP54" i="15"/>
  <c r="AD54" i="15"/>
  <c r="AC54" i="15"/>
  <c r="AB54" i="15"/>
  <c r="F54" i="15"/>
  <c r="CR53" i="15"/>
  <c r="CR54" i="15" s="1"/>
  <c r="CQ53" i="15"/>
  <c r="CQ54" i="15" s="1"/>
  <c r="CP53" i="15"/>
  <c r="CP54" i="15" s="1"/>
  <c r="CO53" i="15"/>
  <c r="CO54" i="15" s="1"/>
  <c r="CN53" i="15"/>
  <c r="CN54" i="15" s="1"/>
  <c r="CM53" i="15"/>
  <c r="CM54" i="15" s="1"/>
  <c r="CL53" i="15"/>
  <c r="CK53" i="15"/>
  <c r="CJ53" i="15"/>
  <c r="CI53" i="15"/>
  <c r="CH53" i="15"/>
  <c r="CH54" i="15" s="1"/>
  <c r="CG53" i="15"/>
  <c r="CG54" i="15" s="1"/>
  <c r="CF53" i="15"/>
  <c r="CF54" i="15" s="1"/>
  <c r="CE53" i="15"/>
  <c r="CE54" i="15" s="1"/>
  <c r="CD53" i="15"/>
  <c r="CD54" i="15" s="1"/>
  <c r="CC53" i="15"/>
  <c r="CC54" i="15" s="1"/>
  <c r="CB53" i="15"/>
  <c r="CB54" i="15" s="1"/>
  <c r="CA53" i="15"/>
  <c r="CA54" i="15" s="1"/>
  <c r="BZ53" i="15"/>
  <c r="BY53" i="15"/>
  <c r="BY54" i="15" s="1"/>
  <c r="BX53" i="15"/>
  <c r="BX54" i="15" s="1"/>
  <c r="BW53" i="15"/>
  <c r="BW54" i="15" s="1"/>
  <c r="BV53" i="15"/>
  <c r="BV54" i="15" s="1"/>
  <c r="BU53" i="15"/>
  <c r="BU54" i="15" s="1"/>
  <c r="BT53" i="15"/>
  <c r="BT54" i="15" s="1"/>
  <c r="BS53" i="15"/>
  <c r="BS54" i="15" s="1"/>
  <c r="BR53" i="15"/>
  <c r="BR54" i="15" s="1"/>
  <c r="BQ53" i="15"/>
  <c r="BQ54" i="15" s="1"/>
  <c r="BP53" i="15"/>
  <c r="BP54" i="15" s="1"/>
  <c r="BO53" i="15"/>
  <c r="BO54" i="15" s="1"/>
  <c r="BN53" i="15"/>
  <c r="BM53" i="15"/>
  <c r="BL53" i="15"/>
  <c r="BK53" i="15"/>
  <c r="BJ53" i="15"/>
  <c r="BJ54" i="15" s="1"/>
  <c r="BI53" i="15"/>
  <c r="L97" i="15" s="1"/>
  <c r="BH53" i="15"/>
  <c r="L91" i="15" s="1"/>
  <c r="BG53" i="15"/>
  <c r="BG54" i="15" s="1"/>
  <c r="BF53" i="15"/>
  <c r="L100" i="15" s="1"/>
  <c r="BE53" i="15"/>
  <c r="BE54" i="15" s="1"/>
  <c r="BD53" i="15"/>
  <c r="L104" i="15" s="1"/>
  <c r="BC53" i="15"/>
  <c r="L98" i="15" s="1"/>
  <c r="BB53" i="15"/>
  <c r="BA53" i="15"/>
  <c r="L92" i="15" s="1"/>
  <c r="AZ53" i="15"/>
  <c r="AY53" i="15"/>
  <c r="L101" i="15" s="1"/>
  <c r="AX53" i="15"/>
  <c r="AX54" i="15" s="1"/>
  <c r="AW53" i="15"/>
  <c r="AW54" i="15" s="1"/>
  <c r="AV53" i="15"/>
  <c r="AV54" i="15" s="1"/>
  <c r="AU53" i="15"/>
  <c r="L102" i="15" s="1"/>
  <c r="AT53" i="15"/>
  <c r="L95" i="15" s="1"/>
  <c r="AS53" i="15"/>
  <c r="AS54" i="15" s="1"/>
  <c r="AR53" i="15"/>
  <c r="L90" i="15" s="1"/>
  <c r="AQ53" i="15"/>
  <c r="AQ54" i="15" s="1"/>
  <c r="AP53" i="15"/>
  <c r="AO53" i="15"/>
  <c r="AO54" i="15" s="1"/>
  <c r="AN53" i="15"/>
  <c r="AN54" i="15" s="1"/>
  <c r="AM53" i="15"/>
  <c r="AM54" i="15" s="1"/>
  <c r="AL53" i="15"/>
  <c r="AL54" i="15" s="1"/>
  <c r="AK53" i="15"/>
  <c r="AK54" i="15" s="1"/>
  <c r="AJ53" i="15"/>
  <c r="AJ54" i="15" s="1"/>
  <c r="AI53" i="15"/>
  <c r="AI54" i="15" s="1"/>
  <c r="AH53" i="15"/>
  <c r="AH54" i="15" s="1"/>
  <c r="AG53" i="15"/>
  <c r="AG54" i="15" s="1"/>
  <c r="AF53" i="15"/>
  <c r="AF54" i="15" s="1"/>
  <c r="AE53" i="15"/>
  <c r="AE54" i="15" s="1"/>
  <c r="AD53" i="15"/>
  <c r="AC53" i="15"/>
  <c r="AB53" i="15"/>
  <c r="AA53" i="15"/>
  <c r="AA54" i="15" s="1"/>
  <c r="Z53" i="15"/>
  <c r="Z54" i="15" s="1"/>
  <c r="Y53" i="15"/>
  <c r="Y54" i="15" s="1"/>
  <c r="X53" i="15"/>
  <c r="X54" i="15" s="1"/>
  <c r="W53" i="15"/>
  <c r="V53" i="15"/>
  <c r="V54" i="15" s="1"/>
  <c r="U53" i="15"/>
  <c r="U54" i="15" s="1"/>
  <c r="T53" i="15"/>
  <c r="T54" i="15" s="1"/>
  <c r="S53" i="15"/>
  <c r="S54" i="15" s="1"/>
  <c r="R53" i="15"/>
  <c r="R54" i="15" s="1"/>
  <c r="Q53" i="15"/>
  <c r="P53" i="15"/>
  <c r="P54" i="15" s="1"/>
  <c r="O53" i="15"/>
  <c r="O54" i="15" s="1"/>
  <c r="N53" i="15"/>
  <c r="N54" i="15" s="1"/>
  <c r="M53" i="15"/>
  <c r="M54" i="15" s="1"/>
  <c r="L53" i="15"/>
  <c r="K53" i="15"/>
  <c r="K54" i="15" s="1"/>
  <c r="J53" i="15"/>
  <c r="J54" i="15" s="1"/>
  <c r="I53" i="15"/>
  <c r="I54" i="15" s="1"/>
  <c r="H53" i="15"/>
  <c r="H54" i="15" s="1"/>
  <c r="G53" i="15"/>
  <c r="G54" i="15" s="1"/>
  <c r="E53" i="15"/>
  <c r="E54" i="15" s="1"/>
  <c r="D53" i="15"/>
  <c r="D54" i="15" s="1"/>
  <c r="CW51" i="15"/>
  <c r="CW50" i="15"/>
  <c r="CW49" i="15"/>
  <c r="CW48" i="15"/>
  <c r="CW47" i="15"/>
  <c r="CW46" i="15"/>
  <c r="CW45" i="15"/>
  <c r="CW44" i="15"/>
  <c r="D72" i="15" s="1"/>
  <c r="CW43" i="15"/>
  <c r="D84" i="15" s="1"/>
  <c r="CW42" i="15"/>
  <c r="CW41" i="15"/>
  <c r="D71" i="15" s="1"/>
  <c r="CW40" i="15"/>
  <c r="D82" i="15" s="1"/>
  <c r="CW39" i="15"/>
  <c r="D70" i="15" s="1"/>
  <c r="CW38" i="15"/>
  <c r="D81" i="15" s="1"/>
  <c r="CW37" i="15"/>
  <c r="CW36" i="15"/>
  <c r="D80" i="15" s="1"/>
  <c r="W54" i="15"/>
  <c r="CW34" i="15"/>
  <c r="D68" i="15" s="1"/>
  <c r="CW33" i="15"/>
  <c r="D79" i="15" s="1"/>
  <c r="CW32" i="15"/>
  <c r="D67" i="15" s="1"/>
  <c r="CW31" i="15"/>
  <c r="D66" i="15" s="1"/>
  <c r="CW30" i="15"/>
  <c r="CW29" i="15"/>
  <c r="CW28" i="15"/>
  <c r="D77" i="15" s="1"/>
  <c r="CW27" i="15"/>
  <c r="D63" i="15" s="1"/>
  <c r="CW26" i="15"/>
  <c r="CW25" i="15"/>
  <c r="CW24" i="15"/>
  <c r="CW23" i="15"/>
  <c r="CW22" i="15"/>
  <c r="D65" i="15" s="1"/>
  <c r="CW21" i="15"/>
  <c r="CW20" i="15"/>
  <c r="CW19" i="15"/>
  <c r="CW18" i="15"/>
  <c r="CW17" i="15"/>
  <c r="D74" i="15" s="1"/>
  <c r="CW16" i="15"/>
  <c r="CW15" i="15"/>
  <c r="CW14" i="15"/>
  <c r="CW13" i="15"/>
  <c r="CW12" i="15"/>
  <c r="L54" i="15"/>
  <c r="CW10" i="15"/>
  <c r="CW9" i="15"/>
  <c r="D64" i="15" l="1"/>
  <c r="K108" i="15"/>
  <c r="K109" i="15"/>
  <c r="J108" i="15"/>
  <c r="CW53" i="15"/>
  <c r="K110" i="15"/>
  <c r="J109" i="15"/>
  <c r="L93" i="15"/>
  <c r="H110" i="15"/>
  <c r="H109" i="15"/>
  <c r="D61" i="15"/>
  <c r="D75" i="15"/>
  <c r="AY54" i="15"/>
  <c r="H108" i="15"/>
  <c r="I108" i="15"/>
  <c r="CW35" i="15"/>
  <c r="Q54" i="15"/>
  <c r="L109" i="15"/>
  <c r="L106" i="15"/>
  <c r="CW11" i="15"/>
  <c r="D62" i="15" s="1"/>
  <c r="BC54" i="15"/>
  <c r="L96" i="15"/>
  <c r="CW52" i="15"/>
  <c r="AR54" i="15"/>
  <c r="BD54" i="15"/>
  <c r="L103" i="15"/>
  <c r="L94" i="15"/>
  <c r="AT54" i="15"/>
  <c r="BF54" i="15"/>
  <c r="L105" i="15"/>
  <c r="AU54" i="15"/>
  <c r="BI54" i="15"/>
  <c r="M11" i="14"/>
  <c r="L11" i="14"/>
  <c r="D73" i="15" l="1"/>
  <c r="D60" i="15"/>
  <c r="L110" i="15"/>
  <c r="L108" i="15"/>
  <c r="CW54" i="15"/>
  <c r="S52" i="13"/>
  <c r="W35" i="14"/>
  <c r="Q35" i="14"/>
  <c r="Q11" i="14"/>
  <c r="V35" i="14" l="1"/>
  <c r="F53" i="13"/>
  <c r="U51" i="11" l="1"/>
  <c r="P35" i="14"/>
  <c r="BP52" i="14" l="1"/>
  <c r="K106" i="14" l="1"/>
  <c r="J106" i="14"/>
  <c r="I106" i="14"/>
  <c r="H106" i="14"/>
  <c r="K105" i="14"/>
  <c r="J105" i="14"/>
  <c r="I105" i="14"/>
  <c r="H105" i="14"/>
  <c r="K104" i="14"/>
  <c r="J104" i="14"/>
  <c r="I104" i="14"/>
  <c r="H104" i="14"/>
  <c r="K103" i="14"/>
  <c r="J103" i="14"/>
  <c r="I103" i="14"/>
  <c r="H103" i="14"/>
  <c r="K102" i="14"/>
  <c r="J102" i="14"/>
  <c r="J110" i="14" s="1"/>
  <c r="I102" i="14"/>
  <c r="I110" i="14" s="1"/>
  <c r="H102" i="14"/>
  <c r="K101" i="14"/>
  <c r="J101" i="14"/>
  <c r="I101" i="14"/>
  <c r="H101" i="14"/>
  <c r="K100" i="14"/>
  <c r="J100" i="14"/>
  <c r="I100" i="14"/>
  <c r="H100" i="14"/>
  <c r="K99" i="14"/>
  <c r="J99" i="14"/>
  <c r="I99" i="14"/>
  <c r="H99" i="14"/>
  <c r="K98" i="14"/>
  <c r="J98" i="14"/>
  <c r="I98" i="14"/>
  <c r="H98" i="14"/>
  <c r="K97" i="14"/>
  <c r="J97" i="14"/>
  <c r="I97" i="14"/>
  <c r="H97" i="14"/>
  <c r="K96" i="14"/>
  <c r="J96" i="14"/>
  <c r="I96" i="14"/>
  <c r="I109" i="14" s="1"/>
  <c r="H96" i="14"/>
  <c r="K95" i="14"/>
  <c r="J95" i="14"/>
  <c r="I95" i="14"/>
  <c r="H95" i="14"/>
  <c r="K94" i="14"/>
  <c r="J94" i="14"/>
  <c r="I94" i="14"/>
  <c r="H94" i="14"/>
  <c r="K93" i="14"/>
  <c r="J93" i="14"/>
  <c r="I93" i="14"/>
  <c r="H93" i="14"/>
  <c r="K92" i="14"/>
  <c r="J92" i="14"/>
  <c r="I92" i="14"/>
  <c r="H92" i="14"/>
  <c r="K91" i="14"/>
  <c r="J91" i="14"/>
  <c r="I91" i="14"/>
  <c r="H91" i="14"/>
  <c r="K90" i="14"/>
  <c r="J90" i="14"/>
  <c r="J108" i="14" s="1"/>
  <c r="I90" i="14"/>
  <c r="H90" i="14"/>
  <c r="C84" i="14"/>
  <c r="C83" i="14"/>
  <c r="C82" i="14"/>
  <c r="CV54" i="14"/>
  <c r="CU54" i="14"/>
  <c r="CT54" i="14"/>
  <c r="CS54" i="14"/>
  <c r="BX54" i="14"/>
  <c r="BN54" i="14"/>
  <c r="BL54" i="14"/>
  <c r="BB54" i="14"/>
  <c r="AB54" i="14"/>
  <c r="R54" i="14"/>
  <c r="CR53" i="14"/>
  <c r="CR54" i="14" s="1"/>
  <c r="CQ53" i="14"/>
  <c r="CQ54" i="14" s="1"/>
  <c r="CP53" i="14"/>
  <c r="CP54" i="14" s="1"/>
  <c r="CO53" i="14"/>
  <c r="CO54" i="14" s="1"/>
  <c r="CN53" i="14"/>
  <c r="CN54" i="14" s="1"/>
  <c r="CM53" i="14"/>
  <c r="CM54" i="14" s="1"/>
  <c r="CL53" i="14"/>
  <c r="CL54" i="14" s="1"/>
  <c r="CK53" i="14"/>
  <c r="CK54" i="14" s="1"/>
  <c r="CJ53" i="14"/>
  <c r="CJ54" i="14" s="1"/>
  <c r="CI53" i="14"/>
  <c r="CI54" i="14" s="1"/>
  <c r="CH53" i="14"/>
  <c r="CH54" i="14" s="1"/>
  <c r="CG53" i="14"/>
  <c r="CG54" i="14" s="1"/>
  <c r="CF53" i="14"/>
  <c r="CF54" i="14" s="1"/>
  <c r="CE53" i="14"/>
  <c r="CE54" i="14" s="1"/>
  <c r="CD53" i="14"/>
  <c r="CD54" i="14" s="1"/>
  <c r="CC53" i="14"/>
  <c r="CC54" i="14" s="1"/>
  <c r="CB53" i="14"/>
  <c r="CB54" i="14" s="1"/>
  <c r="CA53" i="14"/>
  <c r="CA54" i="14" s="1"/>
  <c r="BZ53" i="14"/>
  <c r="BZ54" i="14" s="1"/>
  <c r="BY53" i="14"/>
  <c r="BY54" i="14" s="1"/>
  <c r="BX53" i="14"/>
  <c r="BW53" i="14"/>
  <c r="BW54" i="14" s="1"/>
  <c r="BV53" i="14"/>
  <c r="BV54" i="14" s="1"/>
  <c r="BU53" i="14"/>
  <c r="BU54" i="14" s="1"/>
  <c r="BT53" i="14"/>
  <c r="BT54" i="14" s="1"/>
  <c r="BS53" i="14"/>
  <c r="BS54" i="14" s="1"/>
  <c r="BR53" i="14"/>
  <c r="BR54" i="14" s="1"/>
  <c r="BQ53" i="14"/>
  <c r="BQ54" i="14" s="1"/>
  <c r="BP53" i="14"/>
  <c r="BP54" i="14" s="1"/>
  <c r="BO53" i="14"/>
  <c r="BO54" i="14" s="1"/>
  <c r="BN53" i="14"/>
  <c r="BM53" i="14"/>
  <c r="BM54" i="14" s="1"/>
  <c r="BL53" i="14"/>
  <c r="BK53" i="14"/>
  <c r="BK54" i="14" s="1"/>
  <c r="BJ53" i="14"/>
  <c r="BJ54" i="14" s="1"/>
  <c r="BI53" i="14"/>
  <c r="L97" i="14" s="1"/>
  <c r="BH53" i="14"/>
  <c r="BH54" i="14" s="1"/>
  <c r="BG53" i="14"/>
  <c r="BG54" i="14" s="1"/>
  <c r="BF53" i="14"/>
  <c r="L100" i="14" s="1"/>
  <c r="BE53" i="14"/>
  <c r="L93" i="14" s="1"/>
  <c r="BD53" i="14"/>
  <c r="L104" i="14" s="1"/>
  <c r="BC53" i="14"/>
  <c r="L98" i="14" s="1"/>
  <c r="BB53" i="14"/>
  <c r="L99" i="14" s="1"/>
  <c r="BA53" i="14"/>
  <c r="BA54" i="14" s="1"/>
  <c r="AZ53" i="14"/>
  <c r="AZ54" i="14" s="1"/>
  <c r="AY53" i="14"/>
  <c r="AY54" i="14" s="1"/>
  <c r="AX53" i="14"/>
  <c r="AX54" i="14" s="1"/>
  <c r="AW53" i="14"/>
  <c r="AW54" i="14" s="1"/>
  <c r="AV53" i="14"/>
  <c r="AV54" i="14" s="1"/>
  <c r="AU53" i="14"/>
  <c r="L102" i="14" s="1"/>
  <c r="AT53" i="14"/>
  <c r="L95" i="14" s="1"/>
  <c r="AS53" i="14"/>
  <c r="AS54" i="14" s="1"/>
  <c r="AR53" i="14"/>
  <c r="L90" i="14" s="1"/>
  <c r="AQ53" i="14"/>
  <c r="AQ54" i="14" s="1"/>
  <c r="AP53" i="14"/>
  <c r="AP54" i="14" s="1"/>
  <c r="AO53" i="14"/>
  <c r="AO54" i="14" s="1"/>
  <c r="AN53" i="14"/>
  <c r="AN54" i="14" s="1"/>
  <c r="AM53" i="14"/>
  <c r="AM54" i="14" s="1"/>
  <c r="AL53" i="14"/>
  <c r="AL54" i="14" s="1"/>
  <c r="AK53" i="14"/>
  <c r="AK54" i="14" s="1"/>
  <c r="AJ53" i="14"/>
  <c r="AJ54" i="14" s="1"/>
  <c r="AI53" i="14"/>
  <c r="AI54" i="14" s="1"/>
  <c r="AH53" i="14"/>
  <c r="AH54" i="14" s="1"/>
  <c r="AG53" i="14"/>
  <c r="AG54" i="14" s="1"/>
  <c r="AF53" i="14"/>
  <c r="AF54" i="14" s="1"/>
  <c r="AE53" i="14"/>
  <c r="AE54" i="14" s="1"/>
  <c r="AD53" i="14"/>
  <c r="AD54" i="14" s="1"/>
  <c r="AC53" i="14"/>
  <c r="AC54" i="14" s="1"/>
  <c r="AB53" i="14"/>
  <c r="AA53" i="14"/>
  <c r="AA54" i="14" s="1"/>
  <c r="Z53" i="14"/>
  <c r="Z54" i="14" s="1"/>
  <c r="Y53" i="14"/>
  <c r="Y54" i="14" s="1"/>
  <c r="X53" i="14"/>
  <c r="X54" i="14" s="1"/>
  <c r="W53" i="14"/>
  <c r="W54" i="14" s="1"/>
  <c r="V53" i="14"/>
  <c r="V54" i="14" s="1"/>
  <c r="U53" i="14"/>
  <c r="U54" i="14" s="1"/>
  <c r="T53" i="14"/>
  <c r="T54" i="14" s="1"/>
  <c r="S53" i="14"/>
  <c r="R53" i="14"/>
  <c r="Q53" i="14"/>
  <c r="Q54" i="14" s="1"/>
  <c r="P53" i="14"/>
  <c r="P54" i="14" s="1"/>
  <c r="O53" i="14"/>
  <c r="O54" i="14" s="1"/>
  <c r="N53" i="14"/>
  <c r="N54" i="14" s="1"/>
  <c r="M53" i="14"/>
  <c r="M54" i="14" s="1"/>
  <c r="K53" i="14"/>
  <c r="K54" i="14" s="1"/>
  <c r="J53" i="14"/>
  <c r="J54" i="14" s="1"/>
  <c r="I53" i="14"/>
  <c r="I54" i="14" s="1"/>
  <c r="H53" i="14"/>
  <c r="G53" i="14"/>
  <c r="G54" i="14" s="1"/>
  <c r="F54" i="14"/>
  <c r="E53" i="14"/>
  <c r="E54" i="14" s="1"/>
  <c r="D53" i="14"/>
  <c r="D54" i="14" s="1"/>
  <c r="CW51" i="14"/>
  <c r="CW50" i="14"/>
  <c r="CW49" i="14"/>
  <c r="CW48" i="14"/>
  <c r="CW47" i="14"/>
  <c r="CW46" i="14"/>
  <c r="CW45" i="14"/>
  <c r="CW44" i="14"/>
  <c r="D72" i="14" s="1"/>
  <c r="CW43" i="14"/>
  <c r="D84" i="14" s="1"/>
  <c r="CW42" i="14"/>
  <c r="D83" i="14" s="1"/>
  <c r="CW41" i="14"/>
  <c r="D71" i="14" s="1"/>
  <c r="CW40" i="14"/>
  <c r="D82" i="14" s="1"/>
  <c r="CW39" i="14"/>
  <c r="D70" i="14" s="1"/>
  <c r="CW38" i="14"/>
  <c r="D81" i="14" s="1"/>
  <c r="L53" i="14"/>
  <c r="CW37" i="14"/>
  <c r="D69" i="14" s="1"/>
  <c r="CW36" i="14"/>
  <c r="D80" i="14" s="1"/>
  <c r="CW35" i="14"/>
  <c r="CW34" i="14"/>
  <c r="D68" i="14" s="1"/>
  <c r="CW33" i="14"/>
  <c r="D79" i="14" s="1"/>
  <c r="CW32" i="14"/>
  <c r="D67" i="14" s="1"/>
  <c r="CW31" i="14"/>
  <c r="D66" i="14" s="1"/>
  <c r="CW30" i="14"/>
  <c r="D78" i="14" s="1"/>
  <c r="CW29" i="14"/>
  <c r="CW28" i="14"/>
  <c r="D77" i="14" s="1"/>
  <c r="CW27" i="14"/>
  <c r="CW26" i="14"/>
  <c r="CW25" i="14"/>
  <c r="CW24" i="14"/>
  <c r="CW23" i="14"/>
  <c r="CW22" i="14"/>
  <c r="D65" i="14" s="1"/>
  <c r="CW21" i="14"/>
  <c r="CW20" i="14"/>
  <c r="CW19" i="14"/>
  <c r="D75" i="14" s="1"/>
  <c r="CW18" i="14"/>
  <c r="D61" i="14" s="1"/>
  <c r="CW17" i="14"/>
  <c r="D74" i="14" s="1"/>
  <c r="CW16" i="14"/>
  <c r="D76" i="14" s="1"/>
  <c r="CW15" i="14"/>
  <c r="CW14" i="14"/>
  <c r="CW13" i="14"/>
  <c r="CW12" i="14"/>
  <c r="D64" i="14" s="1"/>
  <c r="CW11" i="14"/>
  <c r="CW10" i="14"/>
  <c r="CW9" i="14"/>
  <c r="K110" i="14" l="1"/>
  <c r="J109" i="14"/>
  <c r="H110" i="14"/>
  <c r="CW53" i="14"/>
  <c r="H108" i="14"/>
  <c r="I108" i="14"/>
  <c r="L92" i="14"/>
  <c r="K109" i="14"/>
  <c r="D63" i="14"/>
  <c r="K108" i="14"/>
  <c r="H109" i="14"/>
  <c r="D73" i="14"/>
  <c r="L54" i="14"/>
  <c r="S54" i="14"/>
  <c r="BC54" i="14"/>
  <c r="L96" i="14"/>
  <c r="L109" i="14" s="1"/>
  <c r="H54" i="14"/>
  <c r="AR54" i="14"/>
  <c r="BD54" i="14"/>
  <c r="L91" i="14"/>
  <c r="L103" i="14"/>
  <c r="L94" i="14"/>
  <c r="L106" i="14"/>
  <c r="L101" i="14"/>
  <c r="BE54" i="14"/>
  <c r="AT54" i="14"/>
  <c r="BF54" i="14"/>
  <c r="L105" i="14"/>
  <c r="AU54" i="14"/>
  <c r="BI54" i="14"/>
  <c r="S52" i="12"/>
  <c r="Q19" i="13"/>
  <c r="D60" i="14" l="1"/>
  <c r="L110" i="14"/>
  <c r="CW54" i="14"/>
  <c r="L108" i="14"/>
  <c r="S29" i="12" l="1"/>
  <c r="Q29" i="12"/>
  <c r="L38" i="13" l="1"/>
  <c r="D53" i="12" l="1"/>
  <c r="F53" i="12"/>
  <c r="D62" i="12"/>
  <c r="V35" i="13" l="1"/>
  <c r="Q12" i="13"/>
  <c r="Q11" i="13"/>
  <c r="Q35" i="13"/>
  <c r="L11" i="13"/>
  <c r="BP52" i="13" l="1"/>
  <c r="K106" i="13" l="1"/>
  <c r="J106" i="13"/>
  <c r="I106" i="13"/>
  <c r="H106" i="13"/>
  <c r="K105" i="13"/>
  <c r="J105" i="13"/>
  <c r="I105" i="13"/>
  <c r="H105" i="13"/>
  <c r="L104" i="13"/>
  <c r="K104" i="13"/>
  <c r="J104" i="13"/>
  <c r="I104" i="13"/>
  <c r="H104" i="13"/>
  <c r="K103" i="13"/>
  <c r="K110" i="13" s="1"/>
  <c r="J103" i="13"/>
  <c r="I103" i="13"/>
  <c r="H103" i="13"/>
  <c r="K102" i="13"/>
  <c r="J102" i="13"/>
  <c r="I102" i="13"/>
  <c r="I110" i="13" s="1"/>
  <c r="H102" i="13"/>
  <c r="K101" i="13"/>
  <c r="J101" i="13"/>
  <c r="I101" i="13"/>
  <c r="H101" i="13"/>
  <c r="K100" i="13"/>
  <c r="J100" i="13"/>
  <c r="I100" i="13"/>
  <c r="H100" i="13"/>
  <c r="K99" i="13"/>
  <c r="J99" i="13"/>
  <c r="I99" i="13"/>
  <c r="H99" i="13"/>
  <c r="K98" i="13"/>
  <c r="J98" i="13"/>
  <c r="I98" i="13"/>
  <c r="H98" i="13"/>
  <c r="K97" i="13"/>
  <c r="J97" i="13"/>
  <c r="I97" i="13"/>
  <c r="H97" i="13"/>
  <c r="K96" i="13"/>
  <c r="J96" i="13"/>
  <c r="I96" i="13"/>
  <c r="H96" i="13"/>
  <c r="K95" i="13"/>
  <c r="J95" i="13"/>
  <c r="I95" i="13"/>
  <c r="H95" i="13"/>
  <c r="K94" i="13"/>
  <c r="J94" i="13"/>
  <c r="I94" i="13"/>
  <c r="H94" i="13"/>
  <c r="K93" i="13"/>
  <c r="J93" i="13"/>
  <c r="I93" i="13"/>
  <c r="H93" i="13"/>
  <c r="L92" i="13"/>
  <c r="K92" i="13"/>
  <c r="J92" i="13"/>
  <c r="I92" i="13"/>
  <c r="H92" i="13"/>
  <c r="K91" i="13"/>
  <c r="J91" i="13"/>
  <c r="I91" i="13"/>
  <c r="H91" i="13"/>
  <c r="L90" i="13"/>
  <c r="K90" i="13"/>
  <c r="K108" i="13" s="1"/>
  <c r="J90" i="13"/>
  <c r="I90" i="13"/>
  <c r="I108" i="13" s="1"/>
  <c r="H90" i="13"/>
  <c r="C84" i="13"/>
  <c r="C83" i="13"/>
  <c r="C82" i="13"/>
  <c r="D67" i="13"/>
  <c r="CV54" i="13"/>
  <c r="CU54" i="13"/>
  <c r="CT54" i="13"/>
  <c r="CS54" i="13"/>
  <c r="CJ54" i="13"/>
  <c r="CI54" i="13"/>
  <c r="BX54" i="13"/>
  <c r="AN54" i="13"/>
  <c r="AM54" i="13"/>
  <c r="AB54" i="13"/>
  <c r="K54" i="13"/>
  <c r="CR53" i="13"/>
  <c r="CR54" i="13" s="1"/>
  <c r="CQ53" i="13"/>
  <c r="CQ54" i="13" s="1"/>
  <c r="CP53" i="13"/>
  <c r="CP54" i="13" s="1"/>
  <c r="CO53" i="13"/>
  <c r="CO54" i="13" s="1"/>
  <c r="CN53" i="13"/>
  <c r="CN54" i="13" s="1"/>
  <c r="CM53" i="13"/>
  <c r="CM54" i="13" s="1"/>
  <c r="CL53" i="13"/>
  <c r="CL54" i="13" s="1"/>
  <c r="CK53" i="13"/>
  <c r="CK54" i="13" s="1"/>
  <c r="CJ53" i="13"/>
  <c r="CI53" i="13"/>
  <c r="CH53" i="13"/>
  <c r="CH54" i="13" s="1"/>
  <c r="CG53" i="13"/>
  <c r="CG54" i="13" s="1"/>
  <c r="CF53" i="13"/>
  <c r="CF54" i="13" s="1"/>
  <c r="CE53" i="13"/>
  <c r="CE54" i="13" s="1"/>
  <c r="CD53" i="13"/>
  <c r="CD54" i="13" s="1"/>
  <c r="CC53" i="13"/>
  <c r="CC54" i="13" s="1"/>
  <c r="CB53" i="13"/>
  <c r="CB54" i="13" s="1"/>
  <c r="CA53" i="13"/>
  <c r="BZ53" i="13"/>
  <c r="BZ54" i="13" s="1"/>
  <c r="BY53" i="13"/>
  <c r="BY54" i="13" s="1"/>
  <c r="BX53" i="13"/>
  <c r="BW53" i="13"/>
  <c r="BW54" i="13" s="1"/>
  <c r="BV53" i="13"/>
  <c r="BV54" i="13" s="1"/>
  <c r="BU53" i="13"/>
  <c r="BU54" i="13" s="1"/>
  <c r="BT53" i="13"/>
  <c r="BT54" i="13" s="1"/>
  <c r="BS53" i="13"/>
  <c r="BS54" i="13" s="1"/>
  <c r="BR53" i="13"/>
  <c r="BR54" i="13" s="1"/>
  <c r="BQ53" i="13"/>
  <c r="BQ54" i="13" s="1"/>
  <c r="BP53" i="13"/>
  <c r="BO53" i="13"/>
  <c r="BO54" i="13" s="1"/>
  <c r="BN53" i="13"/>
  <c r="BN54" i="13" s="1"/>
  <c r="BM53" i="13"/>
  <c r="BM54" i="13" s="1"/>
  <c r="BL53" i="13"/>
  <c r="BL54" i="13" s="1"/>
  <c r="BK53" i="13"/>
  <c r="BK54" i="13" s="1"/>
  <c r="BJ53" i="13"/>
  <c r="BJ54" i="13" s="1"/>
  <c r="BI53" i="13"/>
  <c r="L97" i="13" s="1"/>
  <c r="BH53" i="13"/>
  <c r="BH54" i="13" s="1"/>
  <c r="BG53" i="13"/>
  <c r="L105" i="13" s="1"/>
  <c r="BF53" i="13"/>
  <c r="BF54" i="13" s="1"/>
  <c r="BE53" i="13"/>
  <c r="BD53" i="13"/>
  <c r="BD54" i="13" s="1"/>
  <c r="BC53" i="13"/>
  <c r="BB53" i="13"/>
  <c r="BB54" i="13" s="1"/>
  <c r="BA53" i="13"/>
  <c r="BA54" i="13" s="1"/>
  <c r="AZ53" i="13"/>
  <c r="AZ54" i="13" s="1"/>
  <c r="AY53" i="13"/>
  <c r="L106" i="13" s="1"/>
  <c r="AX53" i="13"/>
  <c r="AX54" i="13" s="1"/>
  <c r="AW53" i="13"/>
  <c r="L94" i="13" s="1"/>
  <c r="AV53" i="13"/>
  <c r="AV54" i="13" s="1"/>
  <c r="AU53" i="13"/>
  <c r="AU54" i="13" s="1"/>
  <c r="AT53" i="13"/>
  <c r="L95" i="13" s="1"/>
  <c r="AS53" i="13"/>
  <c r="AR53" i="13"/>
  <c r="AR54" i="13" s="1"/>
  <c r="AQ53" i="13"/>
  <c r="AQ54" i="13" s="1"/>
  <c r="AP53" i="13"/>
  <c r="AP54" i="13" s="1"/>
  <c r="AO53" i="13"/>
  <c r="AO54" i="13" s="1"/>
  <c r="AN53" i="13"/>
  <c r="AM53" i="13"/>
  <c r="AL53" i="13"/>
  <c r="AL54" i="13" s="1"/>
  <c r="AK53" i="13"/>
  <c r="AK54" i="13" s="1"/>
  <c r="AJ53" i="13"/>
  <c r="AJ54" i="13" s="1"/>
  <c r="AI53" i="13"/>
  <c r="AI54" i="13" s="1"/>
  <c r="AH53" i="13"/>
  <c r="AH54" i="13" s="1"/>
  <c r="AG53" i="13"/>
  <c r="AG54" i="13" s="1"/>
  <c r="AF53" i="13"/>
  <c r="AF54" i="13" s="1"/>
  <c r="AE53" i="13"/>
  <c r="AE54" i="13" s="1"/>
  <c r="AD53" i="13"/>
  <c r="AD54" i="13" s="1"/>
  <c r="AC53" i="13"/>
  <c r="AC54" i="13" s="1"/>
  <c r="AB53" i="13"/>
  <c r="AA53" i="13"/>
  <c r="AA54" i="13" s="1"/>
  <c r="Z53" i="13"/>
  <c r="Z54" i="13" s="1"/>
  <c r="Y53" i="13"/>
  <c r="Y54" i="13" s="1"/>
  <c r="X53" i="13"/>
  <c r="X54" i="13" s="1"/>
  <c r="W53" i="13"/>
  <c r="V53" i="13"/>
  <c r="V54" i="13" s="1"/>
  <c r="U53" i="13"/>
  <c r="U54" i="13" s="1"/>
  <c r="T53" i="13"/>
  <c r="T54" i="13" s="1"/>
  <c r="S53" i="13"/>
  <c r="R53" i="13"/>
  <c r="R54" i="13" s="1"/>
  <c r="Q53" i="13"/>
  <c r="P53" i="13"/>
  <c r="O53" i="13"/>
  <c r="O54" i="13" s="1"/>
  <c r="N53" i="13"/>
  <c r="N54" i="13" s="1"/>
  <c r="M53" i="13"/>
  <c r="M54" i="13" s="1"/>
  <c r="L53" i="13"/>
  <c r="K53" i="13"/>
  <c r="J53" i="13"/>
  <c r="J54" i="13" s="1"/>
  <c r="I53" i="13"/>
  <c r="I54" i="13" s="1"/>
  <c r="H53" i="13"/>
  <c r="H54" i="13" s="1"/>
  <c r="G53" i="13"/>
  <c r="G54" i="13" s="1"/>
  <c r="F54" i="13"/>
  <c r="D53" i="13"/>
  <c r="D54" i="13" s="1"/>
  <c r="BP54" i="13"/>
  <c r="CW51" i="13"/>
  <c r="CW50" i="13"/>
  <c r="CW49" i="13"/>
  <c r="CW48" i="13"/>
  <c r="CW47" i="13"/>
  <c r="CW46" i="13"/>
  <c r="CW45" i="13"/>
  <c r="CW44" i="13"/>
  <c r="D72" i="13" s="1"/>
  <c r="CW43" i="13"/>
  <c r="D84" i="13" s="1"/>
  <c r="CW42" i="13"/>
  <c r="D83" i="13" s="1"/>
  <c r="CW41" i="13"/>
  <c r="D71" i="13" s="1"/>
  <c r="CW39" i="13"/>
  <c r="D70" i="13" s="1"/>
  <c r="CW38" i="13"/>
  <c r="D81" i="13" s="1"/>
  <c r="CW37" i="13"/>
  <c r="D69" i="13" s="1"/>
  <c r="CW36" i="13"/>
  <c r="D80" i="13" s="1"/>
  <c r="CW35" i="13"/>
  <c r="CW34" i="13"/>
  <c r="D68" i="13" s="1"/>
  <c r="CW33" i="13"/>
  <c r="D79" i="13" s="1"/>
  <c r="CW32" i="13"/>
  <c r="CW31" i="13"/>
  <c r="D66" i="13" s="1"/>
  <c r="CW30" i="13"/>
  <c r="D78" i="13" s="1"/>
  <c r="CW29" i="13"/>
  <c r="CW28" i="13"/>
  <c r="CW27" i="13"/>
  <c r="D63" i="13" s="1"/>
  <c r="CW26" i="13"/>
  <c r="CW25" i="13"/>
  <c r="CW24" i="13"/>
  <c r="CW23" i="13"/>
  <c r="CW22" i="13"/>
  <c r="D65" i="13" s="1"/>
  <c r="CW21" i="13"/>
  <c r="CW20" i="13"/>
  <c r="CW19" i="13"/>
  <c r="CW18" i="13"/>
  <c r="CW17" i="13"/>
  <c r="D74" i="13" s="1"/>
  <c r="CW16" i="13"/>
  <c r="CW15" i="13"/>
  <c r="CW14" i="13"/>
  <c r="CW13" i="13"/>
  <c r="CW12" i="13"/>
  <c r="CW10" i="13"/>
  <c r="CW9" i="13"/>
  <c r="D61" i="13" l="1"/>
  <c r="D64" i="13"/>
  <c r="D77" i="13"/>
  <c r="D76" i="13"/>
  <c r="L102" i="13"/>
  <c r="J109" i="13"/>
  <c r="L100" i="13"/>
  <c r="D75" i="13"/>
  <c r="AY54" i="13"/>
  <c r="L101" i="13"/>
  <c r="H110" i="13"/>
  <c r="BG54" i="13"/>
  <c r="H108" i="13"/>
  <c r="I109" i="13"/>
  <c r="K109" i="13"/>
  <c r="Q54" i="13"/>
  <c r="P54" i="13"/>
  <c r="L98" i="13"/>
  <c r="BC54" i="13"/>
  <c r="CA54" i="13"/>
  <c r="W54" i="13"/>
  <c r="L54" i="13"/>
  <c r="CW11" i="13"/>
  <c r="D62" i="13" s="1"/>
  <c r="D60" i="13" s="1"/>
  <c r="E53" i="13"/>
  <c r="CW53" i="13" s="1"/>
  <c r="CW40" i="13"/>
  <c r="D82" i="13" s="1"/>
  <c r="AS54" i="13"/>
  <c r="L96" i="13"/>
  <c r="BI54" i="13"/>
  <c r="J110" i="13"/>
  <c r="AW54" i="13"/>
  <c r="J108" i="13"/>
  <c r="S54" i="13"/>
  <c r="L93" i="13"/>
  <c r="BE54" i="13"/>
  <c r="L99" i="13"/>
  <c r="CW52" i="13"/>
  <c r="H109" i="13"/>
  <c r="L91" i="13"/>
  <c r="L103" i="13"/>
  <c r="AT54" i="13"/>
  <c r="P11" i="12"/>
  <c r="D73" i="13" l="1"/>
  <c r="L110" i="13"/>
  <c r="L108" i="13"/>
  <c r="E54" i="13"/>
  <c r="L109" i="13"/>
  <c r="S52" i="11"/>
  <c r="CW54" i="13" l="1"/>
  <c r="Y51" i="11"/>
  <c r="W51" i="11"/>
  <c r="P35" i="11" l="1"/>
  <c r="Q35" i="11" s="1"/>
  <c r="BU29" i="12" l="1"/>
  <c r="E40" i="12" l="1"/>
  <c r="BS29" i="12"/>
  <c r="F53" i="11"/>
  <c r="W35" i="12"/>
  <c r="V35" i="12"/>
  <c r="S11" i="12" l="1"/>
  <c r="Q11" i="12"/>
  <c r="M11" i="12" l="1"/>
  <c r="L11" i="12"/>
  <c r="BP52" i="12" l="1"/>
  <c r="K106" i="12" l="1"/>
  <c r="J106" i="12"/>
  <c r="I106" i="12"/>
  <c r="H106" i="12"/>
  <c r="K105" i="12"/>
  <c r="J105" i="12"/>
  <c r="I105" i="12"/>
  <c r="H105" i="12"/>
  <c r="K104" i="12"/>
  <c r="J104" i="12"/>
  <c r="I104" i="12"/>
  <c r="H104" i="12"/>
  <c r="K103" i="12"/>
  <c r="J103" i="12"/>
  <c r="I103" i="12"/>
  <c r="H103" i="12"/>
  <c r="K102" i="12"/>
  <c r="J102" i="12"/>
  <c r="J110" i="12" s="1"/>
  <c r="I102" i="12"/>
  <c r="I110" i="12" s="1"/>
  <c r="H102" i="12"/>
  <c r="K101" i="12"/>
  <c r="J101" i="12"/>
  <c r="I101" i="12"/>
  <c r="H101" i="12"/>
  <c r="K100" i="12"/>
  <c r="J100" i="12"/>
  <c r="I100" i="12"/>
  <c r="H100" i="12"/>
  <c r="K99" i="12"/>
  <c r="J99" i="12"/>
  <c r="I99" i="12"/>
  <c r="H99" i="12"/>
  <c r="K98" i="12"/>
  <c r="J98" i="12"/>
  <c r="I98" i="12"/>
  <c r="H98" i="12"/>
  <c r="L97" i="12"/>
  <c r="K97" i="12"/>
  <c r="J97" i="12"/>
  <c r="I97" i="12"/>
  <c r="H97" i="12"/>
  <c r="K96" i="12"/>
  <c r="J96" i="12"/>
  <c r="I96" i="12"/>
  <c r="H96" i="12"/>
  <c r="K95" i="12"/>
  <c r="J95" i="12"/>
  <c r="I95" i="12"/>
  <c r="H95" i="12"/>
  <c r="K94" i="12"/>
  <c r="J94" i="12"/>
  <c r="I94" i="12"/>
  <c r="H94" i="12"/>
  <c r="K93" i="12"/>
  <c r="J93" i="12"/>
  <c r="I93" i="12"/>
  <c r="H93" i="12"/>
  <c r="K92" i="12"/>
  <c r="J92" i="12"/>
  <c r="I92" i="12"/>
  <c r="H92" i="12"/>
  <c r="K91" i="12"/>
  <c r="J91" i="12"/>
  <c r="I91" i="12"/>
  <c r="H91" i="12"/>
  <c r="K90" i="12"/>
  <c r="J90" i="12"/>
  <c r="I90" i="12"/>
  <c r="H90" i="12"/>
  <c r="C84" i="12"/>
  <c r="C83" i="12"/>
  <c r="C82" i="12"/>
  <c r="CV54" i="12"/>
  <c r="CU54" i="12"/>
  <c r="CT54" i="12"/>
  <c r="CS54" i="12"/>
  <c r="CH54" i="12"/>
  <c r="CE54" i="12"/>
  <c r="BY54" i="12"/>
  <c r="BV54" i="12"/>
  <c r="BS54" i="12"/>
  <c r="BJ54" i="12"/>
  <c r="BG54" i="12"/>
  <c r="AX54" i="12"/>
  <c r="AU54" i="12"/>
  <c r="AP54" i="12"/>
  <c r="AL54" i="12"/>
  <c r="Z54" i="12"/>
  <c r="N54" i="12"/>
  <c r="K54" i="12"/>
  <c r="CR53" i="12"/>
  <c r="CR54" i="12" s="1"/>
  <c r="CQ53" i="12"/>
  <c r="CQ54" i="12" s="1"/>
  <c r="CP53" i="12"/>
  <c r="CP54" i="12" s="1"/>
  <c r="CO53" i="12"/>
  <c r="CO54" i="12" s="1"/>
  <c r="CN53" i="12"/>
  <c r="CN54" i="12" s="1"/>
  <c r="CM53" i="12"/>
  <c r="CM54" i="12" s="1"/>
  <c r="CL53" i="12"/>
  <c r="CL54" i="12" s="1"/>
  <c r="CK53" i="12"/>
  <c r="CK54" i="12" s="1"/>
  <c r="CJ53" i="12"/>
  <c r="CJ54" i="12" s="1"/>
  <c r="CI53" i="12"/>
  <c r="CI54" i="12" s="1"/>
  <c r="CH53" i="12"/>
  <c r="CG53" i="12"/>
  <c r="CG54" i="12" s="1"/>
  <c r="CF53" i="12"/>
  <c r="CF54" i="12" s="1"/>
  <c r="CE53" i="12"/>
  <c r="CD53" i="12"/>
  <c r="CD54" i="12" s="1"/>
  <c r="CC53" i="12"/>
  <c r="CC54" i="12" s="1"/>
  <c r="CB53" i="12"/>
  <c r="CB54" i="12" s="1"/>
  <c r="CA53" i="12"/>
  <c r="CA54" i="12" s="1"/>
  <c r="BZ53" i="12"/>
  <c r="BZ54" i="12" s="1"/>
  <c r="BY53" i="12"/>
  <c r="BX53" i="12"/>
  <c r="BX54" i="12" s="1"/>
  <c r="BW53" i="12"/>
  <c r="BW54" i="12" s="1"/>
  <c r="BV53" i="12"/>
  <c r="BU53" i="12"/>
  <c r="BU54" i="12" s="1"/>
  <c r="BT53" i="12"/>
  <c r="BT54" i="12" s="1"/>
  <c r="BS53" i="12"/>
  <c r="BR53" i="12"/>
  <c r="BR54" i="12" s="1"/>
  <c r="BQ53" i="12"/>
  <c r="BQ54" i="12" s="1"/>
  <c r="BP53" i="12"/>
  <c r="BO53" i="12"/>
  <c r="BO54" i="12" s="1"/>
  <c r="BN53" i="12"/>
  <c r="BN54" i="12" s="1"/>
  <c r="BM53" i="12"/>
  <c r="BM54" i="12" s="1"/>
  <c r="BL53" i="12"/>
  <c r="BL54" i="12" s="1"/>
  <c r="BK53" i="12"/>
  <c r="BK54" i="12" s="1"/>
  <c r="BJ53" i="12"/>
  <c r="L103" i="12" s="1"/>
  <c r="BI53" i="12"/>
  <c r="BI54" i="12" s="1"/>
  <c r="BH53" i="12"/>
  <c r="BH54" i="12" s="1"/>
  <c r="BG53" i="12"/>
  <c r="L105" i="12" s="1"/>
  <c r="BF53" i="12"/>
  <c r="BF54" i="12" s="1"/>
  <c r="BE53" i="12"/>
  <c r="L93" i="12" s="1"/>
  <c r="BD53" i="12"/>
  <c r="L104" i="12" s="1"/>
  <c r="BC53" i="12"/>
  <c r="L98" i="12" s="1"/>
  <c r="BB53" i="12"/>
  <c r="L99" i="12" s="1"/>
  <c r="BA53" i="12"/>
  <c r="L92" i="12" s="1"/>
  <c r="AZ53" i="12"/>
  <c r="AZ54" i="12" s="1"/>
  <c r="AY53" i="12"/>
  <c r="AY54" i="12" s="1"/>
  <c r="AX53" i="12"/>
  <c r="AW53" i="12"/>
  <c r="AW54" i="12" s="1"/>
  <c r="AV53" i="12"/>
  <c r="AV54" i="12" s="1"/>
  <c r="AU53" i="12"/>
  <c r="L102" i="12" s="1"/>
  <c r="AT53" i="12"/>
  <c r="L95" i="12" s="1"/>
  <c r="AS53" i="12"/>
  <c r="AS54" i="12" s="1"/>
  <c r="AR53" i="12"/>
  <c r="L90" i="12" s="1"/>
  <c r="AQ53" i="12"/>
  <c r="AQ54" i="12" s="1"/>
  <c r="AP53" i="12"/>
  <c r="AO53" i="12"/>
  <c r="AO54" i="12" s="1"/>
  <c r="AN53" i="12"/>
  <c r="AN54" i="12" s="1"/>
  <c r="AM53" i="12"/>
  <c r="AM54" i="12" s="1"/>
  <c r="AL53" i="12"/>
  <c r="AK53" i="12"/>
  <c r="AK54" i="12" s="1"/>
  <c r="AJ53" i="12"/>
  <c r="AJ54" i="12" s="1"/>
  <c r="AI54" i="12"/>
  <c r="AH54" i="12"/>
  <c r="AG53" i="12"/>
  <c r="AG54" i="12" s="1"/>
  <c r="AF53" i="12"/>
  <c r="AF54" i="12" s="1"/>
  <c r="AE53" i="12"/>
  <c r="AE54" i="12" s="1"/>
  <c r="AD53" i="12"/>
  <c r="AD54" i="12" s="1"/>
  <c r="AC53" i="12"/>
  <c r="AC54" i="12" s="1"/>
  <c r="AB53" i="12"/>
  <c r="AB54" i="12" s="1"/>
  <c r="AA53" i="12"/>
  <c r="AA54" i="12" s="1"/>
  <c r="Z53" i="12"/>
  <c r="Y53" i="12"/>
  <c r="Y54" i="12" s="1"/>
  <c r="X53" i="12"/>
  <c r="X54" i="12" s="1"/>
  <c r="W53" i="12"/>
  <c r="V53" i="12"/>
  <c r="V54" i="12" s="1"/>
  <c r="U53" i="12"/>
  <c r="U54" i="12" s="1"/>
  <c r="T53" i="12"/>
  <c r="T54" i="12" s="1"/>
  <c r="S53" i="12"/>
  <c r="S54" i="12" s="1"/>
  <c r="R53" i="12"/>
  <c r="R54" i="12" s="1"/>
  <c r="Q53" i="12"/>
  <c r="P53" i="12"/>
  <c r="O53" i="12"/>
  <c r="O54" i="12" s="1"/>
  <c r="N53" i="12"/>
  <c r="M53" i="12"/>
  <c r="M54" i="12" s="1"/>
  <c r="L53" i="12"/>
  <c r="L54" i="12" s="1"/>
  <c r="K53" i="12"/>
  <c r="J53" i="12"/>
  <c r="J54" i="12" s="1"/>
  <c r="I53" i="12"/>
  <c r="H53" i="12"/>
  <c r="G53" i="12"/>
  <c r="G54" i="12" s="1"/>
  <c r="F54" i="12"/>
  <c r="E53" i="12"/>
  <c r="E54" i="12" s="1"/>
  <c r="D54" i="12"/>
  <c r="BP54" i="12"/>
  <c r="CW52" i="12"/>
  <c r="CW51" i="12"/>
  <c r="CW50" i="12"/>
  <c r="CW49" i="12"/>
  <c r="CW48" i="12"/>
  <c r="CW47" i="12"/>
  <c r="CW46" i="12"/>
  <c r="CW45" i="12"/>
  <c r="CW44" i="12"/>
  <c r="D72" i="12" s="1"/>
  <c r="CW43" i="12"/>
  <c r="D84" i="12" s="1"/>
  <c r="CW42" i="12"/>
  <c r="D83" i="12" s="1"/>
  <c r="CW41" i="12"/>
  <c r="D71" i="12" s="1"/>
  <c r="CW40" i="12"/>
  <c r="D82" i="12" s="1"/>
  <c r="CW39" i="12"/>
  <c r="D70" i="12" s="1"/>
  <c r="CW38" i="12"/>
  <c r="D81" i="12" s="1"/>
  <c r="CW37" i="12"/>
  <c r="D69" i="12" s="1"/>
  <c r="CW36" i="12"/>
  <c r="D80" i="12" s="1"/>
  <c r="CW34" i="12"/>
  <c r="D68" i="12" s="1"/>
  <c r="CW33" i="12"/>
  <c r="D79" i="12" s="1"/>
  <c r="CW32" i="12"/>
  <c r="D67" i="12" s="1"/>
  <c r="CW31" i="12"/>
  <c r="D66" i="12" s="1"/>
  <c r="CW30" i="12"/>
  <c r="D78" i="12" s="1"/>
  <c r="CW29" i="12"/>
  <c r="CW28" i="12"/>
  <c r="CW27" i="12"/>
  <c r="CW26" i="12"/>
  <c r="CW25" i="12"/>
  <c r="CW24" i="12"/>
  <c r="CW23" i="12"/>
  <c r="CW22" i="12"/>
  <c r="D65" i="12" s="1"/>
  <c r="CW21" i="12"/>
  <c r="CW20" i="12"/>
  <c r="CW19" i="12"/>
  <c r="CW18" i="12"/>
  <c r="CW17" i="12"/>
  <c r="D74" i="12" s="1"/>
  <c r="CW16" i="12"/>
  <c r="CW15" i="12"/>
  <c r="CW14" i="12"/>
  <c r="CW13" i="12"/>
  <c r="CW12" i="12"/>
  <c r="Q54" i="12"/>
  <c r="CW10" i="12"/>
  <c r="CW9" i="12"/>
  <c r="D61" i="12" l="1"/>
  <c r="D64" i="12"/>
  <c r="D75" i="12"/>
  <c r="CW53" i="12"/>
  <c r="BA54" i="12"/>
  <c r="BB54" i="12"/>
  <c r="K110" i="12"/>
  <c r="H110" i="12"/>
  <c r="H108" i="12"/>
  <c r="K108" i="12"/>
  <c r="J109" i="12"/>
  <c r="D63" i="12"/>
  <c r="I108" i="12"/>
  <c r="K109" i="12"/>
  <c r="D76" i="12"/>
  <c r="D77" i="12"/>
  <c r="J108" i="12"/>
  <c r="H109" i="12"/>
  <c r="L100" i="12"/>
  <c r="I109" i="12"/>
  <c r="W54" i="12"/>
  <c r="CW35" i="12"/>
  <c r="L106" i="12"/>
  <c r="L110" i="12" s="1"/>
  <c r="BC54" i="12"/>
  <c r="L96" i="12"/>
  <c r="P54" i="12"/>
  <c r="L94" i="12"/>
  <c r="L101" i="12"/>
  <c r="H54" i="12"/>
  <c r="AR54" i="12"/>
  <c r="BD54" i="12"/>
  <c r="L91" i="12"/>
  <c r="CW11" i="12"/>
  <c r="I54" i="12"/>
  <c r="BE54" i="12"/>
  <c r="AT54" i="12"/>
  <c r="L11" i="11"/>
  <c r="D60" i="12" l="1"/>
  <c r="D73" i="12"/>
  <c r="L109" i="12"/>
  <c r="L108" i="12"/>
  <c r="CW54" i="12"/>
  <c r="W35" i="11"/>
  <c r="S52" i="10"/>
  <c r="F53" i="10" l="1"/>
  <c r="V35" i="11"/>
  <c r="BD52" i="10" l="1"/>
  <c r="BD50" i="10"/>
  <c r="BB52" i="10"/>
  <c r="BB50" i="10"/>
  <c r="BC52" i="10"/>
  <c r="BC50" i="10"/>
  <c r="BA52" i="10"/>
  <c r="BA50" i="10"/>
  <c r="I50" i="11"/>
  <c r="I52" i="11"/>
  <c r="BP52" i="11"/>
  <c r="K106" i="11" l="1"/>
  <c r="J106" i="11"/>
  <c r="I106" i="11"/>
  <c r="H106" i="11"/>
  <c r="K105" i="11"/>
  <c r="J105" i="11"/>
  <c r="I105" i="11"/>
  <c r="H105" i="11"/>
  <c r="K104" i="11"/>
  <c r="J104" i="11"/>
  <c r="I104" i="11"/>
  <c r="H104" i="11"/>
  <c r="K103" i="11"/>
  <c r="K110" i="11" s="1"/>
  <c r="J103" i="11"/>
  <c r="I103" i="11"/>
  <c r="H103" i="11"/>
  <c r="K102" i="11"/>
  <c r="J102" i="11"/>
  <c r="I102" i="11"/>
  <c r="H102" i="11"/>
  <c r="K101" i="11"/>
  <c r="J101" i="11"/>
  <c r="I101" i="11"/>
  <c r="H101" i="11"/>
  <c r="K100" i="11"/>
  <c r="J100" i="11"/>
  <c r="I100" i="11"/>
  <c r="H100" i="11"/>
  <c r="K99" i="11"/>
  <c r="J99" i="11"/>
  <c r="I99" i="11"/>
  <c r="H99" i="11"/>
  <c r="K98" i="11"/>
  <c r="J98" i="11"/>
  <c r="I98" i="11"/>
  <c r="H98" i="11"/>
  <c r="L97" i="11"/>
  <c r="K97" i="11"/>
  <c r="J97" i="11"/>
  <c r="I97" i="11"/>
  <c r="H97" i="11"/>
  <c r="L96" i="11"/>
  <c r="K96" i="11"/>
  <c r="J96" i="11"/>
  <c r="J109" i="11" s="1"/>
  <c r="I96" i="11"/>
  <c r="H96" i="11"/>
  <c r="K95" i="11"/>
  <c r="J95" i="11"/>
  <c r="I95" i="11"/>
  <c r="H95" i="11"/>
  <c r="K94" i="11"/>
  <c r="J94" i="11"/>
  <c r="I94" i="11"/>
  <c r="H94" i="11"/>
  <c r="K93" i="11"/>
  <c r="J93" i="11"/>
  <c r="I93" i="11"/>
  <c r="H93" i="11"/>
  <c r="K92" i="11"/>
  <c r="J92" i="11"/>
  <c r="I92" i="11"/>
  <c r="H92" i="11"/>
  <c r="K91" i="11"/>
  <c r="J91" i="11"/>
  <c r="I91" i="11"/>
  <c r="H91" i="11"/>
  <c r="H108" i="11" s="1"/>
  <c r="K90" i="11"/>
  <c r="J90" i="11"/>
  <c r="J108" i="11" s="1"/>
  <c r="I90" i="11"/>
  <c r="H90" i="11"/>
  <c r="C84" i="11"/>
  <c r="C83" i="11"/>
  <c r="C82" i="11"/>
  <c r="CV54" i="11"/>
  <c r="CU54" i="11"/>
  <c r="CT54" i="11"/>
  <c r="CS54" i="11"/>
  <c r="CC54" i="11"/>
  <c r="CB54" i="11"/>
  <c r="BQ54" i="11"/>
  <c r="BP54" i="11"/>
  <c r="BE54" i="11"/>
  <c r="AG54" i="11"/>
  <c r="AF54" i="11"/>
  <c r="U54" i="11"/>
  <c r="T54" i="11"/>
  <c r="I54" i="11"/>
  <c r="CR53" i="11"/>
  <c r="CR54" i="11" s="1"/>
  <c r="CQ53" i="11"/>
  <c r="CQ54" i="11" s="1"/>
  <c r="CP53" i="11"/>
  <c r="CP54" i="11" s="1"/>
  <c r="CO53" i="11"/>
  <c r="CO54" i="11" s="1"/>
  <c r="CN53" i="11"/>
  <c r="CN54" i="11" s="1"/>
  <c r="CM53" i="11"/>
  <c r="CM54" i="11" s="1"/>
  <c r="CL53" i="11"/>
  <c r="CL54" i="11" s="1"/>
  <c r="CK53" i="11"/>
  <c r="CK54" i="11" s="1"/>
  <c r="CJ53" i="11"/>
  <c r="CJ54" i="11" s="1"/>
  <c r="CI53" i="11"/>
  <c r="CI54" i="11" s="1"/>
  <c r="CH53" i="11"/>
  <c r="CH54" i="11" s="1"/>
  <c r="CG53" i="11"/>
  <c r="CG54" i="11" s="1"/>
  <c r="CF53" i="11"/>
  <c r="CF54" i="11" s="1"/>
  <c r="CE53" i="11"/>
  <c r="CE54" i="11" s="1"/>
  <c r="CD53" i="11"/>
  <c r="CD54" i="11" s="1"/>
  <c r="CC53" i="11"/>
  <c r="CB53" i="11"/>
  <c r="CA53" i="11"/>
  <c r="BZ53" i="11"/>
  <c r="BZ54" i="11" s="1"/>
  <c r="BY53" i="11"/>
  <c r="BY54" i="11" s="1"/>
  <c r="BX53" i="11"/>
  <c r="BX54" i="11" s="1"/>
  <c r="BW53" i="11"/>
  <c r="BW54" i="11" s="1"/>
  <c r="BV53" i="11"/>
  <c r="BV54" i="11" s="1"/>
  <c r="BU53" i="11"/>
  <c r="BU54" i="11" s="1"/>
  <c r="BT53" i="11"/>
  <c r="BT54" i="11" s="1"/>
  <c r="BS53" i="11"/>
  <c r="BS54" i="11" s="1"/>
  <c r="BR53" i="11"/>
  <c r="BR54" i="11" s="1"/>
  <c r="BQ53" i="11"/>
  <c r="BP53" i="11"/>
  <c r="BO53" i="11"/>
  <c r="BO54" i="11" s="1"/>
  <c r="BN53" i="11"/>
  <c r="BN54" i="11" s="1"/>
  <c r="BM53" i="11"/>
  <c r="BM54" i="11" s="1"/>
  <c r="BL53" i="11"/>
  <c r="BL54" i="11" s="1"/>
  <c r="BK53" i="11"/>
  <c r="BK54" i="11" s="1"/>
  <c r="BJ53" i="11"/>
  <c r="L103" i="11" s="1"/>
  <c r="BI53" i="11"/>
  <c r="BI54" i="11" s="1"/>
  <c r="BH53" i="11"/>
  <c r="BH54" i="11" s="1"/>
  <c r="BG53" i="11"/>
  <c r="BG54" i="11" s="1"/>
  <c r="BF53" i="11"/>
  <c r="L100" i="11" s="1"/>
  <c r="BE53" i="11"/>
  <c r="L93" i="11" s="1"/>
  <c r="BD53" i="11"/>
  <c r="L104" i="11" s="1"/>
  <c r="BC53" i="11"/>
  <c r="L98" i="11" s="1"/>
  <c r="BB53" i="11"/>
  <c r="BB54" i="11" s="1"/>
  <c r="BA53" i="11"/>
  <c r="L92" i="11" s="1"/>
  <c r="AZ53" i="11"/>
  <c r="AZ54" i="11" s="1"/>
  <c r="AY53" i="11"/>
  <c r="AY54" i="11" s="1"/>
  <c r="AX53" i="11"/>
  <c r="AX54" i="11" s="1"/>
  <c r="AW53" i="11"/>
  <c r="AW54" i="11" s="1"/>
  <c r="AV53" i="11"/>
  <c r="AV54" i="11" s="1"/>
  <c r="AU53" i="11"/>
  <c r="L102" i="11" s="1"/>
  <c r="AT53" i="11"/>
  <c r="L95" i="11" s="1"/>
  <c r="AS53" i="11"/>
  <c r="AS54" i="11" s="1"/>
  <c r="AR53" i="11"/>
  <c r="L90" i="11" s="1"/>
  <c r="AQ53" i="11"/>
  <c r="AQ54" i="11" s="1"/>
  <c r="AP53" i="11"/>
  <c r="AP54" i="11" s="1"/>
  <c r="AO53" i="11"/>
  <c r="AO54" i="11" s="1"/>
  <c r="AN53" i="11"/>
  <c r="AN54" i="11" s="1"/>
  <c r="AM53" i="11"/>
  <c r="AM54" i="11" s="1"/>
  <c r="AL53" i="11"/>
  <c r="AL54" i="11" s="1"/>
  <c r="AK53" i="11"/>
  <c r="AK54" i="11" s="1"/>
  <c r="AJ53" i="11"/>
  <c r="AJ54" i="11" s="1"/>
  <c r="AI53" i="11"/>
  <c r="AI54" i="11" s="1"/>
  <c r="AH53" i="11"/>
  <c r="AH54" i="11" s="1"/>
  <c r="AG53" i="11"/>
  <c r="AF53" i="11"/>
  <c r="AE53" i="11"/>
  <c r="AE54" i="11" s="1"/>
  <c r="AD53" i="11"/>
  <c r="AD54" i="11" s="1"/>
  <c r="AC53" i="11"/>
  <c r="AC54" i="11" s="1"/>
  <c r="AB53" i="11"/>
  <c r="AB54" i="11" s="1"/>
  <c r="AA53" i="11"/>
  <c r="AA54" i="11" s="1"/>
  <c r="Z53" i="11"/>
  <c r="Z54" i="11" s="1"/>
  <c r="Y53" i="11"/>
  <c r="Y54" i="11" s="1"/>
  <c r="X53" i="11"/>
  <c r="X54" i="11" s="1"/>
  <c r="W53" i="11"/>
  <c r="V53" i="11"/>
  <c r="U53" i="11"/>
  <c r="T53" i="11"/>
  <c r="S53" i="11"/>
  <c r="S54" i="11" s="1"/>
  <c r="R53" i="11"/>
  <c r="R54" i="11" s="1"/>
  <c r="Q53" i="11"/>
  <c r="Q54" i="11" s="1"/>
  <c r="P53" i="11"/>
  <c r="P54" i="11" s="1"/>
  <c r="O53" i="11"/>
  <c r="O54" i="11" s="1"/>
  <c r="N53" i="11"/>
  <c r="N54" i="11" s="1"/>
  <c r="M53" i="11"/>
  <c r="M54" i="11" s="1"/>
  <c r="L53" i="11"/>
  <c r="L54" i="11" s="1"/>
  <c r="K53" i="11"/>
  <c r="K54" i="11" s="1"/>
  <c r="J53" i="11"/>
  <c r="J54" i="11" s="1"/>
  <c r="I53" i="11"/>
  <c r="H53" i="11"/>
  <c r="H54" i="11" s="1"/>
  <c r="G53" i="11"/>
  <c r="G54" i="11" s="1"/>
  <c r="E53" i="11"/>
  <c r="E54" i="11" s="1"/>
  <c r="D53" i="11"/>
  <c r="CW52" i="11"/>
  <c r="CW51" i="11"/>
  <c r="CW50" i="11"/>
  <c r="CW49" i="11"/>
  <c r="CW48" i="11"/>
  <c r="CW47" i="11"/>
  <c r="CW46" i="11"/>
  <c r="CW45" i="11"/>
  <c r="CW44" i="11"/>
  <c r="D72" i="11" s="1"/>
  <c r="CW43" i="11"/>
  <c r="D84" i="11" s="1"/>
  <c r="CW42" i="11"/>
  <c r="D83" i="11" s="1"/>
  <c r="CW41" i="11"/>
  <c r="D71" i="11" s="1"/>
  <c r="CW40" i="11"/>
  <c r="D82" i="11" s="1"/>
  <c r="CW39" i="11"/>
  <c r="D70" i="11" s="1"/>
  <c r="CW38" i="11"/>
  <c r="D81" i="11" s="1"/>
  <c r="CW37" i="11"/>
  <c r="D69" i="11" s="1"/>
  <c r="CW36" i="11"/>
  <c r="D80" i="11" s="1"/>
  <c r="CW35" i="11"/>
  <c r="W54" i="11"/>
  <c r="V54" i="11"/>
  <c r="CW34" i="11"/>
  <c r="D68" i="11" s="1"/>
  <c r="CW33" i="11"/>
  <c r="D79" i="11" s="1"/>
  <c r="CW32" i="11"/>
  <c r="D67" i="11" s="1"/>
  <c r="CW31" i="11"/>
  <c r="D66" i="11" s="1"/>
  <c r="CW30" i="11"/>
  <c r="D78" i="11" s="1"/>
  <c r="CW29" i="11"/>
  <c r="CW28" i="11"/>
  <c r="D77" i="11" s="1"/>
  <c r="CW27" i="11"/>
  <c r="CW26" i="11"/>
  <c r="CW25" i="11"/>
  <c r="CW24" i="11"/>
  <c r="CW23" i="11"/>
  <c r="CW22" i="11"/>
  <c r="D65" i="11" s="1"/>
  <c r="CW21" i="11"/>
  <c r="CW20" i="11"/>
  <c r="CW19" i="11"/>
  <c r="CW18" i="11"/>
  <c r="CW17" i="11"/>
  <c r="D74" i="11" s="1"/>
  <c r="CW16" i="11"/>
  <c r="CW15" i="11"/>
  <c r="CW14" i="11"/>
  <c r="CW13" i="11"/>
  <c r="CW12" i="11"/>
  <c r="CW11" i="11"/>
  <c r="D62" i="11" s="1"/>
  <c r="CW10" i="11"/>
  <c r="CW9" i="11"/>
  <c r="K108" i="11" l="1"/>
  <c r="D64" i="11"/>
  <c r="D61" i="11"/>
  <c r="K109" i="11"/>
  <c r="CW53" i="11"/>
  <c r="I108" i="11"/>
  <c r="H110" i="11"/>
  <c r="D75" i="11"/>
  <c r="L91" i="11"/>
  <c r="L108" i="11" s="1"/>
  <c r="I110" i="11"/>
  <c r="AR54" i="11"/>
  <c r="H109" i="11"/>
  <c r="J110" i="11"/>
  <c r="D63" i="11"/>
  <c r="I109" i="11"/>
  <c r="D76" i="11"/>
  <c r="D73" i="11" s="1"/>
  <c r="BD54" i="11"/>
  <c r="BJ54" i="11"/>
  <c r="D60" i="11"/>
  <c r="D54" i="11"/>
  <c r="L99" i="11"/>
  <c r="L109" i="11" s="1"/>
  <c r="BA54" i="11"/>
  <c r="L94" i="11"/>
  <c r="L106" i="11"/>
  <c r="F54" i="11"/>
  <c r="L101" i="11"/>
  <c r="BC54" i="11"/>
  <c r="CA54" i="11"/>
  <c r="AT54" i="11"/>
  <c r="BF54" i="11"/>
  <c r="L105" i="11"/>
  <c r="AU54" i="11"/>
  <c r="L110" i="11" l="1"/>
  <c r="CW54" i="11"/>
  <c r="W35" i="10" l="1"/>
  <c r="F27" i="10" l="1"/>
  <c r="L27" i="10"/>
  <c r="E40" i="10" l="1"/>
  <c r="S52" i="9" l="1"/>
  <c r="Q38" i="9" l="1"/>
  <c r="V35" i="10" l="1"/>
  <c r="M51" i="9"/>
  <c r="L51" i="9"/>
  <c r="BC52" i="9" l="1"/>
  <c r="BA50" i="9"/>
  <c r="BN50" i="10"/>
  <c r="F53" i="9"/>
  <c r="BP52" i="10"/>
  <c r="L11" i="10"/>
  <c r="K106" i="10" l="1"/>
  <c r="J106" i="10"/>
  <c r="I106" i="10"/>
  <c r="H106" i="10"/>
  <c r="K105" i="10"/>
  <c r="J105" i="10"/>
  <c r="I105" i="10"/>
  <c r="H105" i="10"/>
  <c r="K104" i="10"/>
  <c r="J104" i="10"/>
  <c r="I104" i="10"/>
  <c r="H104" i="10"/>
  <c r="L103" i="10"/>
  <c r="K103" i="10"/>
  <c r="J103" i="10"/>
  <c r="I103" i="10"/>
  <c r="H103" i="10"/>
  <c r="K102" i="10"/>
  <c r="J102" i="10"/>
  <c r="J110" i="10" s="1"/>
  <c r="I102" i="10"/>
  <c r="I110" i="10" s="1"/>
  <c r="H102" i="10"/>
  <c r="K101" i="10"/>
  <c r="J101" i="10"/>
  <c r="I101" i="10"/>
  <c r="H101" i="10"/>
  <c r="K100" i="10"/>
  <c r="J100" i="10"/>
  <c r="I100" i="10"/>
  <c r="H100" i="10"/>
  <c r="K99" i="10"/>
  <c r="J99" i="10"/>
  <c r="I99" i="10"/>
  <c r="H99" i="10"/>
  <c r="K98" i="10"/>
  <c r="J98" i="10"/>
  <c r="I98" i="10"/>
  <c r="H98" i="10"/>
  <c r="K97" i="10"/>
  <c r="J97" i="10"/>
  <c r="I97" i="10"/>
  <c r="H97" i="10"/>
  <c r="K96" i="10"/>
  <c r="J96" i="10"/>
  <c r="I96" i="10"/>
  <c r="H96" i="10"/>
  <c r="K95" i="10"/>
  <c r="K109" i="10" s="1"/>
  <c r="J95" i="10"/>
  <c r="I95" i="10"/>
  <c r="H95" i="10"/>
  <c r="L94" i="10"/>
  <c r="K94" i="10"/>
  <c r="J94" i="10"/>
  <c r="I94" i="10"/>
  <c r="H94" i="10"/>
  <c r="K93" i="10"/>
  <c r="J93" i="10"/>
  <c r="I93" i="10"/>
  <c r="H93" i="10"/>
  <c r="K92" i="10"/>
  <c r="J92" i="10"/>
  <c r="I92" i="10"/>
  <c r="H92" i="10"/>
  <c r="L91" i="10"/>
  <c r="K91" i="10"/>
  <c r="J91" i="10"/>
  <c r="I91" i="10"/>
  <c r="H91" i="10"/>
  <c r="K90" i="10"/>
  <c r="J90" i="10"/>
  <c r="I90" i="10"/>
  <c r="H90" i="10"/>
  <c r="H108" i="10" s="1"/>
  <c r="C84" i="10"/>
  <c r="D83" i="10"/>
  <c r="C83" i="10"/>
  <c r="C82" i="10"/>
  <c r="D70" i="10"/>
  <c r="D67" i="10"/>
  <c r="CV54" i="10"/>
  <c r="CU54" i="10"/>
  <c r="CT54" i="10"/>
  <c r="CS54" i="10"/>
  <c r="CP54" i="10"/>
  <c r="CO54" i="10"/>
  <c r="CN54" i="10"/>
  <c r="CD54" i="10"/>
  <c r="CC54" i="10"/>
  <c r="CB54" i="10"/>
  <c r="BS54" i="10"/>
  <c r="BF54" i="10"/>
  <c r="AU54" i="10"/>
  <c r="AT54" i="10"/>
  <c r="AS54" i="10"/>
  <c r="AH54" i="10"/>
  <c r="AG54" i="10"/>
  <c r="AF54" i="10"/>
  <c r="V54" i="10"/>
  <c r="U54" i="10"/>
  <c r="T54" i="10"/>
  <c r="K54" i="10"/>
  <c r="H54" i="10"/>
  <c r="CR53" i="10"/>
  <c r="CR54" i="10" s="1"/>
  <c r="CQ53" i="10"/>
  <c r="CQ54" i="10" s="1"/>
  <c r="CP53" i="10"/>
  <c r="CO53" i="10"/>
  <c r="CN53" i="10"/>
  <c r="CM53" i="10"/>
  <c r="CM54" i="10" s="1"/>
  <c r="CL53" i="10"/>
  <c r="CL54" i="10" s="1"/>
  <c r="CK53" i="10"/>
  <c r="CK54" i="10" s="1"/>
  <c r="CJ53" i="10"/>
  <c r="CJ54" i="10" s="1"/>
  <c r="CI53" i="10"/>
  <c r="CI54" i="10" s="1"/>
  <c r="CH53" i="10"/>
  <c r="CH54" i="10" s="1"/>
  <c r="CG53" i="10"/>
  <c r="CG54" i="10" s="1"/>
  <c r="CF53" i="10"/>
  <c r="CF54" i="10" s="1"/>
  <c r="CE53" i="10"/>
  <c r="CE54" i="10" s="1"/>
  <c r="CD53" i="10"/>
  <c r="CC53" i="10"/>
  <c r="CB53" i="10"/>
  <c r="CA53" i="10"/>
  <c r="BZ53" i="10"/>
  <c r="BZ54" i="10" s="1"/>
  <c r="BY53" i="10"/>
  <c r="BY54" i="10" s="1"/>
  <c r="BX53" i="10"/>
  <c r="BX54" i="10" s="1"/>
  <c r="BW53" i="10"/>
  <c r="BW54" i="10" s="1"/>
  <c r="BV53" i="10"/>
  <c r="BV54" i="10" s="1"/>
  <c r="BU53" i="10"/>
  <c r="BU54" i="10" s="1"/>
  <c r="BT53" i="10"/>
  <c r="BT54" i="10" s="1"/>
  <c r="BS53" i="10"/>
  <c r="BR53" i="10"/>
  <c r="BR54" i="10" s="1"/>
  <c r="BQ53" i="10"/>
  <c r="BQ54" i="10" s="1"/>
  <c r="BP53" i="10"/>
  <c r="BP54" i="10" s="1"/>
  <c r="BO53" i="10"/>
  <c r="BO54" i="10" s="1"/>
  <c r="BN53" i="10"/>
  <c r="BN54" i="10" s="1"/>
  <c r="BM53" i="10"/>
  <c r="BM54" i="10" s="1"/>
  <c r="BL53" i="10"/>
  <c r="BL54" i="10" s="1"/>
  <c r="BK53" i="10"/>
  <c r="BK54" i="10" s="1"/>
  <c r="BJ53" i="10"/>
  <c r="BJ54" i="10" s="1"/>
  <c r="BI53" i="10"/>
  <c r="L97" i="10" s="1"/>
  <c r="BH53" i="10"/>
  <c r="BH54" i="10" s="1"/>
  <c r="BG53" i="10"/>
  <c r="BG54" i="10" s="1"/>
  <c r="BF53" i="10"/>
  <c r="L100" i="10" s="1"/>
  <c r="BE53" i="10"/>
  <c r="L93" i="10" s="1"/>
  <c r="BD53" i="10"/>
  <c r="L104" i="10" s="1"/>
  <c r="BC53" i="10"/>
  <c r="L98" i="10" s="1"/>
  <c r="BB53" i="10"/>
  <c r="BB54" i="10" s="1"/>
  <c r="BA53" i="10"/>
  <c r="L92" i="10" s="1"/>
  <c r="AZ53" i="10"/>
  <c r="AZ54" i="10" s="1"/>
  <c r="AY53" i="10"/>
  <c r="AY54" i="10" s="1"/>
  <c r="AX53" i="10"/>
  <c r="AX54" i="10" s="1"/>
  <c r="AW53" i="10"/>
  <c r="AW54" i="10" s="1"/>
  <c r="AV53" i="10"/>
  <c r="AV54" i="10" s="1"/>
  <c r="AU53" i="10"/>
  <c r="L102" i="10" s="1"/>
  <c r="AT53" i="10"/>
  <c r="L95" i="10" s="1"/>
  <c r="AS53" i="10"/>
  <c r="L96" i="10" s="1"/>
  <c r="AR53" i="10"/>
  <c r="L90" i="10" s="1"/>
  <c r="AQ53" i="10"/>
  <c r="AQ54" i="10" s="1"/>
  <c r="AP53" i="10"/>
  <c r="AP54" i="10" s="1"/>
  <c r="AO53" i="10"/>
  <c r="AO54" i="10" s="1"/>
  <c r="AN53" i="10"/>
  <c r="AN54" i="10" s="1"/>
  <c r="AM53" i="10"/>
  <c r="AM54" i="10" s="1"/>
  <c r="AL53" i="10"/>
  <c r="AL54" i="10" s="1"/>
  <c r="AK53" i="10"/>
  <c r="AK54" i="10" s="1"/>
  <c r="AJ53" i="10"/>
  <c r="AJ54" i="10" s="1"/>
  <c r="AI53" i="10"/>
  <c r="AI54" i="10" s="1"/>
  <c r="AH53" i="10"/>
  <c r="AG53" i="10"/>
  <c r="AF53" i="10"/>
  <c r="AE53" i="10"/>
  <c r="AE54" i="10" s="1"/>
  <c r="AD53" i="10"/>
  <c r="AD54" i="10" s="1"/>
  <c r="AC53" i="10"/>
  <c r="AC54" i="10" s="1"/>
  <c r="AB53" i="10"/>
  <c r="AB54" i="10" s="1"/>
  <c r="AA53" i="10"/>
  <c r="AA54" i="10" s="1"/>
  <c r="Z53" i="10"/>
  <c r="Z54" i="10" s="1"/>
  <c r="Y53" i="10"/>
  <c r="Y54" i="10" s="1"/>
  <c r="X53" i="10"/>
  <c r="X54" i="10" s="1"/>
  <c r="W53" i="10"/>
  <c r="V53" i="10"/>
  <c r="U53" i="10"/>
  <c r="T53" i="10"/>
  <c r="S53" i="10"/>
  <c r="S54" i="10" s="1"/>
  <c r="R53" i="10"/>
  <c r="R54" i="10" s="1"/>
  <c r="Q53" i="10"/>
  <c r="Q54" i="10" s="1"/>
  <c r="P53" i="10"/>
  <c r="P54" i="10" s="1"/>
  <c r="O53" i="10"/>
  <c r="O54" i="10" s="1"/>
  <c r="N53" i="10"/>
  <c r="N54" i="10" s="1"/>
  <c r="K53" i="10"/>
  <c r="J53" i="10"/>
  <c r="J54" i="10" s="1"/>
  <c r="I53" i="10"/>
  <c r="I54" i="10" s="1"/>
  <c r="H53" i="10"/>
  <c r="G53" i="10"/>
  <c r="G54" i="10" s="1"/>
  <c r="F54" i="10"/>
  <c r="E53" i="10"/>
  <c r="E54" i="10" s="1"/>
  <c r="D53" i="10"/>
  <c r="CW52" i="10"/>
  <c r="CW51" i="10"/>
  <c r="CW50" i="10"/>
  <c r="CW49" i="10"/>
  <c r="CW48" i="10"/>
  <c r="CW47" i="10"/>
  <c r="CW46" i="10"/>
  <c r="CW45" i="10"/>
  <c r="CW44" i="10"/>
  <c r="D72" i="10" s="1"/>
  <c r="CW43" i="10"/>
  <c r="D84" i="10" s="1"/>
  <c r="CW42" i="10"/>
  <c r="CW41" i="10"/>
  <c r="D71" i="10" s="1"/>
  <c r="CW40" i="10"/>
  <c r="D82" i="10" s="1"/>
  <c r="CW39" i="10"/>
  <c r="M53" i="10"/>
  <c r="L53" i="10"/>
  <c r="L54" i="10" s="1"/>
  <c r="CW37" i="10"/>
  <c r="D69" i="10" s="1"/>
  <c r="CW36" i="10"/>
  <c r="D80" i="10" s="1"/>
  <c r="W54" i="10"/>
  <c r="CW34" i="10"/>
  <c r="D68" i="10" s="1"/>
  <c r="CW33" i="10"/>
  <c r="D79" i="10" s="1"/>
  <c r="CW32" i="10"/>
  <c r="CW31" i="10"/>
  <c r="D66" i="10" s="1"/>
  <c r="CW30" i="10"/>
  <c r="D78" i="10" s="1"/>
  <c r="CW29" i="10"/>
  <c r="CW28" i="10"/>
  <c r="CW27" i="10"/>
  <c r="CW26" i="10"/>
  <c r="CW25" i="10"/>
  <c r="CW24" i="10"/>
  <c r="CW23" i="10"/>
  <c r="CW22" i="10"/>
  <c r="D65" i="10" s="1"/>
  <c r="CW21" i="10"/>
  <c r="CW20" i="10"/>
  <c r="CW19" i="10"/>
  <c r="CW18" i="10"/>
  <c r="CW17" i="10"/>
  <c r="D74" i="10" s="1"/>
  <c r="CW16" i="10"/>
  <c r="CW15" i="10"/>
  <c r="CW14" i="10"/>
  <c r="CW13" i="10"/>
  <c r="CW12" i="10"/>
  <c r="CW10" i="10"/>
  <c r="CW9" i="10"/>
  <c r="S22" i="8"/>
  <c r="Q22" i="8"/>
  <c r="D61" i="10" l="1"/>
  <c r="D64" i="10"/>
  <c r="J108" i="10"/>
  <c r="K110" i="10"/>
  <c r="I108" i="10"/>
  <c r="D63" i="10"/>
  <c r="D76" i="10"/>
  <c r="D77" i="10"/>
  <c r="AR54" i="10"/>
  <c r="K108" i="10"/>
  <c r="H110" i="10"/>
  <c r="BA54" i="10"/>
  <c r="BD54" i="10"/>
  <c r="H109" i="10"/>
  <c r="BE54" i="10"/>
  <c r="I109" i="10"/>
  <c r="L105" i="10"/>
  <c r="J109" i="10"/>
  <c r="D75" i="10"/>
  <c r="CW53" i="10"/>
  <c r="L108" i="10"/>
  <c r="CW11" i="10"/>
  <c r="D62" i="10" s="1"/>
  <c r="D54" i="10"/>
  <c r="L99" i="10"/>
  <c r="L109" i="10" s="1"/>
  <c r="CW35" i="10"/>
  <c r="L101" i="10"/>
  <c r="BC54" i="10"/>
  <c r="CA54" i="10"/>
  <c r="L106" i="10"/>
  <c r="CW38" i="10"/>
  <c r="D81" i="10" s="1"/>
  <c r="D73" i="10" s="1"/>
  <c r="M54" i="10"/>
  <c r="BI54" i="10"/>
  <c r="CW54" i="10" l="1"/>
  <c r="D60" i="10"/>
  <c r="L110" i="10"/>
  <c r="W35" i="9" l="1"/>
  <c r="L11" i="9"/>
  <c r="S52" i="8" l="1"/>
  <c r="P38" i="8" l="1"/>
  <c r="Q38" i="8"/>
  <c r="V35" i="9" l="1"/>
  <c r="M38" i="9" l="1"/>
  <c r="L38" i="9"/>
  <c r="M51" i="8"/>
  <c r="L51" i="8"/>
  <c r="BB52" i="8"/>
  <c r="BC50" i="8"/>
  <c r="BA52" i="8"/>
  <c r="BN52" i="9"/>
  <c r="F53" i="8"/>
  <c r="BP52" i="9"/>
  <c r="K106" i="9" l="1"/>
  <c r="J106" i="9"/>
  <c r="I106" i="9"/>
  <c r="H106" i="9"/>
  <c r="K105" i="9"/>
  <c r="J105" i="9"/>
  <c r="I105" i="9"/>
  <c r="H105" i="9"/>
  <c r="K104" i="9"/>
  <c r="J104" i="9"/>
  <c r="I104" i="9"/>
  <c r="H104" i="9"/>
  <c r="L103" i="9"/>
  <c r="K103" i="9"/>
  <c r="J103" i="9"/>
  <c r="I103" i="9"/>
  <c r="H103" i="9"/>
  <c r="K102" i="9"/>
  <c r="J102" i="9"/>
  <c r="I102" i="9"/>
  <c r="H102" i="9"/>
  <c r="H110" i="9" s="1"/>
  <c r="K101" i="9"/>
  <c r="J101" i="9"/>
  <c r="I101" i="9"/>
  <c r="H101" i="9"/>
  <c r="K100" i="9"/>
  <c r="J100" i="9"/>
  <c r="I100" i="9"/>
  <c r="H100" i="9"/>
  <c r="K99" i="9"/>
  <c r="J99" i="9"/>
  <c r="I99" i="9"/>
  <c r="H99" i="9"/>
  <c r="K98" i="9"/>
  <c r="J98" i="9"/>
  <c r="I98" i="9"/>
  <c r="H98" i="9"/>
  <c r="K97" i="9"/>
  <c r="J97" i="9"/>
  <c r="I97" i="9"/>
  <c r="H97" i="9"/>
  <c r="K96" i="9"/>
  <c r="J96" i="9"/>
  <c r="I96" i="9"/>
  <c r="H96" i="9"/>
  <c r="K95" i="9"/>
  <c r="J95" i="9"/>
  <c r="I95" i="9"/>
  <c r="H95" i="9"/>
  <c r="K94" i="9"/>
  <c r="J94" i="9"/>
  <c r="I94" i="9"/>
  <c r="H94" i="9"/>
  <c r="K93" i="9"/>
  <c r="J93" i="9"/>
  <c r="I93" i="9"/>
  <c r="H93" i="9"/>
  <c r="K92" i="9"/>
  <c r="J92" i="9"/>
  <c r="I92" i="9"/>
  <c r="H92" i="9"/>
  <c r="L91" i="9"/>
  <c r="K91" i="9"/>
  <c r="J91" i="9"/>
  <c r="I91" i="9"/>
  <c r="H91" i="9"/>
  <c r="K90" i="9"/>
  <c r="J90" i="9"/>
  <c r="I90" i="9"/>
  <c r="H90" i="9"/>
  <c r="H108" i="9" s="1"/>
  <c r="C84" i="9"/>
  <c r="C83" i="9"/>
  <c r="D82" i="9"/>
  <c r="C82" i="9"/>
  <c r="CV54" i="9"/>
  <c r="CU54" i="9"/>
  <c r="CT54" i="9"/>
  <c r="CS54" i="9"/>
  <c r="CM54" i="9"/>
  <c r="CC54" i="9"/>
  <c r="CA54" i="9"/>
  <c r="BS54" i="9"/>
  <c r="BQ54" i="9"/>
  <c r="BC54" i="9"/>
  <c r="AS54" i="9"/>
  <c r="AR54" i="9"/>
  <c r="AQ54" i="9"/>
  <c r="AG54" i="9"/>
  <c r="U54" i="9"/>
  <c r="K54" i="9"/>
  <c r="I54" i="9"/>
  <c r="H54" i="9"/>
  <c r="CR53" i="9"/>
  <c r="CR54" i="9" s="1"/>
  <c r="CQ53" i="9"/>
  <c r="CQ54" i="9" s="1"/>
  <c r="CP53" i="9"/>
  <c r="CP54" i="9" s="1"/>
  <c r="CO53" i="9"/>
  <c r="CO54" i="9" s="1"/>
  <c r="CN53" i="9"/>
  <c r="CN54" i="9" s="1"/>
  <c r="CM53" i="9"/>
  <c r="CL53" i="9"/>
  <c r="CL54" i="9" s="1"/>
  <c r="CK53" i="9"/>
  <c r="CK54" i="9" s="1"/>
  <c r="CJ53" i="9"/>
  <c r="CJ54" i="9" s="1"/>
  <c r="CI53" i="9"/>
  <c r="CI54" i="9" s="1"/>
  <c r="CH53" i="9"/>
  <c r="CH54" i="9" s="1"/>
  <c r="CG53" i="9"/>
  <c r="CG54" i="9" s="1"/>
  <c r="CF53" i="9"/>
  <c r="CF54" i="9" s="1"/>
  <c r="CE53" i="9"/>
  <c r="CE54" i="9" s="1"/>
  <c r="CD53" i="9"/>
  <c r="CD54" i="9" s="1"/>
  <c r="CC53" i="9"/>
  <c r="CB53" i="9"/>
  <c r="CB54" i="9" s="1"/>
  <c r="CA53" i="9"/>
  <c r="BZ53" i="9"/>
  <c r="BZ54" i="9" s="1"/>
  <c r="BY53" i="9"/>
  <c r="BY54" i="9" s="1"/>
  <c r="BX53" i="9"/>
  <c r="BX54" i="9" s="1"/>
  <c r="BW53" i="9"/>
  <c r="BW54" i="9" s="1"/>
  <c r="BV53" i="9"/>
  <c r="BV54" i="9" s="1"/>
  <c r="BU53" i="9"/>
  <c r="BT53" i="9"/>
  <c r="BT54" i="9" s="1"/>
  <c r="BS53" i="9"/>
  <c r="BR53" i="9"/>
  <c r="BR54" i="9" s="1"/>
  <c r="BQ53" i="9"/>
  <c r="BP53" i="9"/>
  <c r="BP54" i="9" s="1"/>
  <c r="BO53" i="9"/>
  <c r="BO54" i="9" s="1"/>
  <c r="BN53" i="9"/>
  <c r="BN54" i="9" s="1"/>
  <c r="BM53" i="9"/>
  <c r="BL53" i="9"/>
  <c r="BL54" i="9" s="1"/>
  <c r="BK53" i="9"/>
  <c r="BK54" i="9" s="1"/>
  <c r="BJ53" i="9"/>
  <c r="BJ54" i="9" s="1"/>
  <c r="BI53" i="9"/>
  <c r="BI54" i="9" s="1"/>
  <c r="BH53" i="9"/>
  <c r="BH54" i="9" s="1"/>
  <c r="BG53" i="9"/>
  <c r="L105" i="9" s="1"/>
  <c r="BF53" i="9"/>
  <c r="BF54" i="9" s="1"/>
  <c r="BE53" i="9"/>
  <c r="L93" i="9" s="1"/>
  <c r="BD53" i="9"/>
  <c r="L104" i="9" s="1"/>
  <c r="BC53" i="9"/>
  <c r="L98" i="9" s="1"/>
  <c r="BB53" i="9"/>
  <c r="BB54" i="9" s="1"/>
  <c r="BA53" i="9"/>
  <c r="L92" i="9" s="1"/>
  <c r="AZ53" i="9"/>
  <c r="AZ54" i="9" s="1"/>
  <c r="AY53" i="9"/>
  <c r="AY54" i="9" s="1"/>
  <c r="AX53" i="9"/>
  <c r="AX54" i="9" s="1"/>
  <c r="AW53" i="9"/>
  <c r="AW54" i="9" s="1"/>
  <c r="AV53" i="9"/>
  <c r="AV54" i="9" s="1"/>
  <c r="AU53" i="9"/>
  <c r="L102" i="9" s="1"/>
  <c r="AT53" i="9"/>
  <c r="L95" i="9" s="1"/>
  <c r="AS53" i="9"/>
  <c r="L96" i="9" s="1"/>
  <c r="AR53" i="9"/>
  <c r="L90" i="9" s="1"/>
  <c r="AQ53" i="9"/>
  <c r="AP53" i="9"/>
  <c r="AP54" i="9" s="1"/>
  <c r="AO53" i="9"/>
  <c r="AO54" i="9" s="1"/>
  <c r="AN53" i="9"/>
  <c r="AN54" i="9" s="1"/>
  <c r="AM53" i="9"/>
  <c r="AM54" i="9" s="1"/>
  <c r="AL53" i="9"/>
  <c r="AL54" i="9" s="1"/>
  <c r="AK53" i="9"/>
  <c r="AK54" i="9" s="1"/>
  <c r="AJ53" i="9"/>
  <c r="AJ54" i="9" s="1"/>
  <c r="AI53" i="9"/>
  <c r="AI54" i="9" s="1"/>
  <c r="AH53" i="9"/>
  <c r="AH54" i="9" s="1"/>
  <c r="AG53" i="9"/>
  <c r="AF53" i="9"/>
  <c r="AF54" i="9" s="1"/>
  <c r="AE53" i="9"/>
  <c r="AE54" i="9" s="1"/>
  <c r="AD53" i="9"/>
  <c r="AD54" i="9" s="1"/>
  <c r="AC53" i="9"/>
  <c r="AC54" i="9" s="1"/>
  <c r="AB53" i="9"/>
  <c r="AB54" i="9" s="1"/>
  <c r="AA53" i="9"/>
  <c r="AA54" i="9" s="1"/>
  <c r="Z53" i="9"/>
  <c r="Z54" i="9" s="1"/>
  <c r="Y53" i="9"/>
  <c r="Y54" i="9" s="1"/>
  <c r="X53" i="9"/>
  <c r="X54" i="9" s="1"/>
  <c r="W53" i="9"/>
  <c r="V53" i="9"/>
  <c r="U53" i="9"/>
  <c r="T53" i="9"/>
  <c r="T54" i="9" s="1"/>
  <c r="S53" i="9"/>
  <c r="R53" i="9"/>
  <c r="R54" i="9" s="1"/>
  <c r="Q53" i="9"/>
  <c r="Q54" i="9" s="1"/>
  <c r="P53" i="9"/>
  <c r="P54" i="9" s="1"/>
  <c r="O53" i="9"/>
  <c r="O54" i="9" s="1"/>
  <c r="N53" i="9"/>
  <c r="N54" i="9" s="1"/>
  <c r="M53" i="9"/>
  <c r="M54" i="9" s="1"/>
  <c r="L53" i="9"/>
  <c r="L54" i="9" s="1"/>
  <c r="K53" i="9"/>
  <c r="J53" i="9"/>
  <c r="J54" i="9" s="1"/>
  <c r="I53" i="9"/>
  <c r="H53" i="9"/>
  <c r="G53" i="9"/>
  <c r="G54" i="9" s="1"/>
  <c r="F54" i="9"/>
  <c r="E53" i="9"/>
  <c r="E54" i="9" s="1"/>
  <c r="D53" i="9"/>
  <c r="BM54" i="9"/>
  <c r="CW52" i="9"/>
  <c r="CW51" i="9"/>
  <c r="CW50" i="9"/>
  <c r="CW49" i="9"/>
  <c r="CW48" i="9"/>
  <c r="CW47" i="9"/>
  <c r="CW46" i="9"/>
  <c r="CW45" i="9"/>
  <c r="CW44" i="9"/>
  <c r="D72" i="9" s="1"/>
  <c r="CW43" i="9"/>
  <c r="D84" i="9" s="1"/>
  <c r="CW42" i="9"/>
  <c r="D83" i="9" s="1"/>
  <c r="CW41" i="9"/>
  <c r="D71" i="9" s="1"/>
  <c r="CW40" i="9"/>
  <c r="CW39" i="9"/>
  <c r="D70" i="9" s="1"/>
  <c r="CW38" i="9"/>
  <c r="D81" i="9" s="1"/>
  <c r="CW37" i="9"/>
  <c r="D69" i="9" s="1"/>
  <c r="CW36" i="9"/>
  <c r="D80" i="9" s="1"/>
  <c r="V54" i="9"/>
  <c r="CW34" i="9"/>
  <c r="D68" i="9" s="1"/>
  <c r="CW33" i="9"/>
  <c r="D79" i="9" s="1"/>
  <c r="CW32" i="9"/>
  <c r="D67" i="9" s="1"/>
  <c r="CW31" i="9"/>
  <c r="D66" i="9" s="1"/>
  <c r="CW30" i="9"/>
  <c r="D78" i="9" s="1"/>
  <c r="BU54" i="9"/>
  <c r="CW29" i="9"/>
  <c r="CW28" i="9"/>
  <c r="CW27" i="9"/>
  <c r="D63" i="9" s="1"/>
  <c r="CW26" i="9"/>
  <c r="CW25" i="9"/>
  <c r="CW24" i="9"/>
  <c r="CW23" i="9"/>
  <c r="CW22" i="9"/>
  <c r="D65" i="9" s="1"/>
  <c r="CW21" i="9"/>
  <c r="D76" i="9" s="1"/>
  <c r="CW20" i="9"/>
  <c r="S54" i="9"/>
  <c r="CW18" i="9"/>
  <c r="CW17" i="9"/>
  <c r="D74" i="9" s="1"/>
  <c r="CW16" i="9"/>
  <c r="CW15" i="9"/>
  <c r="CW14" i="9"/>
  <c r="CW13" i="9"/>
  <c r="CW12" i="9"/>
  <c r="CW10" i="9"/>
  <c r="CW9" i="9"/>
  <c r="D64" i="9" l="1"/>
  <c r="CW53" i="9"/>
  <c r="K108" i="9"/>
  <c r="L101" i="9"/>
  <c r="AU54" i="9"/>
  <c r="J110" i="9"/>
  <c r="I110" i="9"/>
  <c r="L97" i="9"/>
  <c r="D61" i="9"/>
  <c r="K109" i="9"/>
  <c r="BD54" i="9"/>
  <c r="J108" i="9"/>
  <c r="I108" i="9"/>
  <c r="L100" i="9"/>
  <c r="BE54" i="9"/>
  <c r="BG54" i="9"/>
  <c r="I109" i="9"/>
  <c r="K110" i="9"/>
  <c r="H109" i="9"/>
  <c r="J109" i="9"/>
  <c r="D77" i="9"/>
  <c r="D54" i="9"/>
  <c r="L99" i="9"/>
  <c r="BA54" i="9"/>
  <c r="L94" i="9"/>
  <c r="L108" i="9" s="1"/>
  <c r="L106" i="9"/>
  <c r="AT54" i="9"/>
  <c r="CW11" i="9"/>
  <c r="D62" i="9" s="1"/>
  <c r="CW19" i="9"/>
  <c r="D75" i="9" s="1"/>
  <c r="W35" i="8"/>
  <c r="BU29" i="8"/>
  <c r="S29" i="8"/>
  <c r="S19" i="8"/>
  <c r="Q19" i="8"/>
  <c r="Q12" i="8"/>
  <c r="Q11" i="8"/>
  <c r="D73" i="9" l="1"/>
  <c r="D60" i="9"/>
  <c r="L109" i="9"/>
  <c r="L110" i="9"/>
  <c r="W54" i="9"/>
  <c r="CW35" i="9"/>
  <c r="L53" i="8"/>
  <c r="CW54" i="9" l="1"/>
  <c r="Q38" i="7"/>
  <c r="Q37" i="7"/>
  <c r="D64" i="7" l="1"/>
  <c r="V35" i="8" l="1"/>
  <c r="M51" i="7"/>
  <c r="L51" i="7"/>
  <c r="BB50" i="7" l="1"/>
  <c r="BM52" i="8" l="1"/>
  <c r="I50" i="8"/>
  <c r="BP52" i="8"/>
  <c r="F53" i="7"/>
  <c r="L11" i="8"/>
  <c r="K106" i="8" l="1"/>
  <c r="J106" i="8"/>
  <c r="I106" i="8"/>
  <c r="H106" i="8"/>
  <c r="K105" i="8"/>
  <c r="J105" i="8"/>
  <c r="I105" i="8"/>
  <c r="H105" i="8"/>
  <c r="K104" i="8"/>
  <c r="J104" i="8"/>
  <c r="I104" i="8"/>
  <c r="H104" i="8"/>
  <c r="K103" i="8"/>
  <c r="J103" i="8"/>
  <c r="I103" i="8"/>
  <c r="H103" i="8"/>
  <c r="K102" i="8"/>
  <c r="J102" i="8"/>
  <c r="I102" i="8"/>
  <c r="H102" i="8"/>
  <c r="K101" i="8"/>
  <c r="J101" i="8"/>
  <c r="I101" i="8"/>
  <c r="H101" i="8"/>
  <c r="K100" i="8"/>
  <c r="J100" i="8"/>
  <c r="I100" i="8"/>
  <c r="H100" i="8"/>
  <c r="L99" i="8"/>
  <c r="K99" i="8"/>
  <c r="J99" i="8"/>
  <c r="I99" i="8"/>
  <c r="H99" i="8"/>
  <c r="K98" i="8"/>
  <c r="J98" i="8"/>
  <c r="I98" i="8"/>
  <c r="H98" i="8"/>
  <c r="K97" i="8"/>
  <c r="J97" i="8"/>
  <c r="I97" i="8"/>
  <c r="H97" i="8"/>
  <c r="K96" i="8"/>
  <c r="J96" i="8"/>
  <c r="I96" i="8"/>
  <c r="H96" i="8"/>
  <c r="K95" i="8"/>
  <c r="J95" i="8"/>
  <c r="I95" i="8"/>
  <c r="H95" i="8"/>
  <c r="L94" i="8"/>
  <c r="K94" i="8"/>
  <c r="J94" i="8"/>
  <c r="I94" i="8"/>
  <c r="H94" i="8"/>
  <c r="K93" i="8"/>
  <c r="J93" i="8"/>
  <c r="I93" i="8"/>
  <c r="H93" i="8"/>
  <c r="K92" i="8"/>
  <c r="J92" i="8"/>
  <c r="I92" i="8"/>
  <c r="H92" i="8"/>
  <c r="L91" i="8"/>
  <c r="K91" i="8"/>
  <c r="J91" i="8"/>
  <c r="I91" i="8"/>
  <c r="H91" i="8"/>
  <c r="K90" i="8"/>
  <c r="J90" i="8"/>
  <c r="I90" i="8"/>
  <c r="H90" i="8"/>
  <c r="C84" i="8"/>
  <c r="C83" i="8"/>
  <c r="C82" i="8"/>
  <c r="D79" i="8"/>
  <c r="D70" i="8"/>
  <c r="CV54" i="8"/>
  <c r="CU54" i="8"/>
  <c r="CT54" i="8"/>
  <c r="CS54" i="8"/>
  <c r="CO54" i="8"/>
  <c r="BZ54" i="8"/>
  <c r="BU54" i="8"/>
  <c r="BQ54" i="8"/>
  <c r="BB54" i="8"/>
  <c r="AW54" i="8"/>
  <c r="AD54" i="8"/>
  <c r="Y54" i="8"/>
  <c r="R54" i="8"/>
  <c r="CR53" i="8"/>
  <c r="CR54" i="8" s="1"/>
  <c r="CQ53" i="8"/>
  <c r="CQ54" i="8" s="1"/>
  <c r="CP53" i="8"/>
  <c r="CP54" i="8" s="1"/>
  <c r="CO53" i="8"/>
  <c r="CN53" i="8"/>
  <c r="CN54" i="8" s="1"/>
  <c r="CM53" i="8"/>
  <c r="CM54" i="8" s="1"/>
  <c r="CL53" i="8"/>
  <c r="CL54" i="8" s="1"/>
  <c r="CK53" i="8"/>
  <c r="CK54" i="8" s="1"/>
  <c r="CJ53" i="8"/>
  <c r="CJ54" i="8" s="1"/>
  <c r="CI53" i="8"/>
  <c r="CI54" i="8" s="1"/>
  <c r="CH53" i="8"/>
  <c r="CH54" i="8" s="1"/>
  <c r="CG53" i="8"/>
  <c r="CG54" i="8" s="1"/>
  <c r="CF53" i="8"/>
  <c r="CF54" i="8" s="1"/>
  <c r="CE53" i="8"/>
  <c r="CE54" i="8" s="1"/>
  <c r="CD53" i="8"/>
  <c r="CD54" i="8" s="1"/>
  <c r="CC53" i="8"/>
  <c r="CC54" i="8" s="1"/>
  <c r="CB53" i="8"/>
  <c r="CB54" i="8" s="1"/>
  <c r="CA53" i="8"/>
  <c r="BZ53" i="8"/>
  <c r="BY53" i="8"/>
  <c r="BY54" i="8" s="1"/>
  <c r="BX53" i="8"/>
  <c r="BX54" i="8" s="1"/>
  <c r="BW53" i="8"/>
  <c r="BW54" i="8" s="1"/>
  <c r="BV53" i="8"/>
  <c r="BV54" i="8" s="1"/>
  <c r="BU53" i="8"/>
  <c r="BT53" i="8"/>
  <c r="BT54" i="8" s="1"/>
  <c r="BS53" i="8"/>
  <c r="BS54" i="8" s="1"/>
  <c r="BR53" i="8"/>
  <c r="BR54" i="8" s="1"/>
  <c r="BQ53" i="8"/>
  <c r="BP53" i="8"/>
  <c r="BO53" i="8"/>
  <c r="BO54" i="8" s="1"/>
  <c r="BN53" i="8"/>
  <c r="BN54" i="8" s="1"/>
  <c r="BM53" i="8"/>
  <c r="BM54" i="8" s="1"/>
  <c r="BL53" i="8"/>
  <c r="BL54" i="8" s="1"/>
  <c r="BK53" i="8"/>
  <c r="BK54" i="8" s="1"/>
  <c r="BJ53" i="8"/>
  <c r="BI53" i="8"/>
  <c r="BI54" i="8" s="1"/>
  <c r="BH53" i="8"/>
  <c r="BH54" i="8" s="1"/>
  <c r="BG53" i="8"/>
  <c r="L105" i="8" s="1"/>
  <c r="BF53" i="8"/>
  <c r="L100" i="8" s="1"/>
  <c r="BE53" i="8"/>
  <c r="L93" i="8" s="1"/>
  <c r="BD53" i="8"/>
  <c r="L104" i="8" s="1"/>
  <c r="BC53" i="8"/>
  <c r="L98" i="8" s="1"/>
  <c r="BB53" i="8"/>
  <c r="BA53" i="8"/>
  <c r="AZ53" i="8"/>
  <c r="AZ54" i="8" s="1"/>
  <c r="AY53" i="8"/>
  <c r="AY54" i="8" s="1"/>
  <c r="AX53" i="8"/>
  <c r="AX54" i="8" s="1"/>
  <c r="AW53" i="8"/>
  <c r="AV53" i="8"/>
  <c r="AV54" i="8" s="1"/>
  <c r="AU53" i="8"/>
  <c r="L102" i="8" s="1"/>
  <c r="AT53" i="8"/>
  <c r="L95" i="8" s="1"/>
  <c r="AS53" i="8"/>
  <c r="L96" i="8" s="1"/>
  <c r="AR53" i="8"/>
  <c r="L90" i="8" s="1"/>
  <c r="AQ53" i="8"/>
  <c r="AQ54" i="8" s="1"/>
  <c r="AP53" i="8"/>
  <c r="AP54" i="8" s="1"/>
  <c r="AO53" i="8"/>
  <c r="AO54" i="8" s="1"/>
  <c r="AN53" i="8"/>
  <c r="AN54" i="8" s="1"/>
  <c r="AM53" i="8"/>
  <c r="AM54" i="8" s="1"/>
  <c r="AL53" i="8"/>
  <c r="AL54" i="8" s="1"/>
  <c r="AK53" i="8"/>
  <c r="AK54" i="8" s="1"/>
  <c r="AJ53" i="8"/>
  <c r="AJ54" i="8" s="1"/>
  <c r="AI53" i="8"/>
  <c r="AI54" i="8" s="1"/>
  <c r="AH53" i="8"/>
  <c r="AH54" i="8" s="1"/>
  <c r="AG53" i="8"/>
  <c r="AG54" i="8" s="1"/>
  <c r="AF53" i="8"/>
  <c r="AF54" i="8" s="1"/>
  <c r="AE53" i="8"/>
  <c r="AE54" i="8" s="1"/>
  <c r="AD53" i="8"/>
  <c r="AC53" i="8"/>
  <c r="AC54" i="8" s="1"/>
  <c r="AB53" i="8"/>
  <c r="AB54" i="8" s="1"/>
  <c r="AA53" i="8"/>
  <c r="AA54" i="8" s="1"/>
  <c r="Z53" i="8"/>
  <c r="Z54" i="8" s="1"/>
  <c r="Y53" i="8"/>
  <c r="X53" i="8"/>
  <c r="X54" i="8" s="1"/>
  <c r="W53" i="8"/>
  <c r="V53" i="8"/>
  <c r="V54" i="8" s="1"/>
  <c r="U53" i="8"/>
  <c r="U54" i="8" s="1"/>
  <c r="T53" i="8"/>
  <c r="T54" i="8" s="1"/>
  <c r="S53" i="8"/>
  <c r="S54" i="8" s="1"/>
  <c r="R53" i="8"/>
  <c r="Q53" i="8"/>
  <c r="P53" i="8"/>
  <c r="P54" i="8" s="1"/>
  <c r="O53" i="8"/>
  <c r="O54" i="8" s="1"/>
  <c r="N53" i="8"/>
  <c r="N54" i="8" s="1"/>
  <c r="M53" i="8"/>
  <c r="M54" i="8" s="1"/>
  <c r="K53" i="8"/>
  <c r="K54" i="8" s="1"/>
  <c r="J53" i="8"/>
  <c r="J54" i="8" s="1"/>
  <c r="I53" i="8"/>
  <c r="I54" i="8" s="1"/>
  <c r="H53" i="8"/>
  <c r="H54" i="8" s="1"/>
  <c r="G53" i="8"/>
  <c r="G54" i="8" s="1"/>
  <c r="F54" i="8"/>
  <c r="E53" i="8"/>
  <c r="E54" i="8" s="1"/>
  <c r="D53" i="8"/>
  <c r="D54" i="8" s="1"/>
  <c r="CW51" i="8"/>
  <c r="CW50" i="8"/>
  <c r="CW49" i="8"/>
  <c r="CW48" i="8"/>
  <c r="CW47" i="8"/>
  <c r="CW46" i="8"/>
  <c r="CW45" i="8"/>
  <c r="CW44" i="8"/>
  <c r="D72" i="8" s="1"/>
  <c r="CW43" i="8"/>
  <c r="D84" i="8" s="1"/>
  <c r="CW42" i="8"/>
  <c r="D83" i="8" s="1"/>
  <c r="CW41" i="8"/>
  <c r="D71" i="8" s="1"/>
  <c r="CW40" i="8"/>
  <c r="D82" i="8" s="1"/>
  <c r="CW39" i="8"/>
  <c r="CW36" i="8"/>
  <c r="D80" i="8" s="1"/>
  <c r="CW34" i="8"/>
  <c r="D68" i="8" s="1"/>
  <c r="CW33" i="8"/>
  <c r="CW32" i="8"/>
  <c r="D67" i="8" s="1"/>
  <c r="CW31" i="8"/>
  <c r="D66" i="8" s="1"/>
  <c r="CW30" i="8"/>
  <c r="D78" i="8" s="1"/>
  <c r="CW29" i="8"/>
  <c r="CW28" i="8"/>
  <c r="D77" i="8" s="1"/>
  <c r="CW27" i="8"/>
  <c r="D63" i="8" s="1"/>
  <c r="CW26" i="8"/>
  <c r="CW25" i="8"/>
  <c r="CW24" i="8"/>
  <c r="CW23" i="8"/>
  <c r="CW22" i="8"/>
  <c r="D65" i="8" s="1"/>
  <c r="CW21" i="8"/>
  <c r="CW20" i="8"/>
  <c r="CW19" i="8"/>
  <c r="CW18" i="8"/>
  <c r="CW17" i="8"/>
  <c r="D74" i="8" s="1"/>
  <c r="CW16" i="8"/>
  <c r="CW15" i="8"/>
  <c r="CW14" i="8"/>
  <c r="CW13" i="8"/>
  <c r="CW12" i="8"/>
  <c r="CW11" i="8"/>
  <c r="D62" i="8" s="1"/>
  <c r="CW10" i="8"/>
  <c r="CW9" i="8"/>
  <c r="L101" i="8" l="1"/>
  <c r="L109" i="8" s="1"/>
  <c r="K109" i="8"/>
  <c r="D61" i="8"/>
  <c r="D76" i="8"/>
  <c r="BC54" i="8"/>
  <c r="BF54" i="8"/>
  <c r="H108" i="8"/>
  <c r="D75" i="8"/>
  <c r="BG54" i="8"/>
  <c r="J109" i="8"/>
  <c r="L97" i="8"/>
  <c r="CA54" i="8"/>
  <c r="BE54" i="8"/>
  <c r="H110" i="8"/>
  <c r="I108" i="8"/>
  <c r="H109" i="8"/>
  <c r="I110" i="8"/>
  <c r="I109" i="8"/>
  <c r="AS54" i="8"/>
  <c r="AT54" i="8"/>
  <c r="K110" i="8"/>
  <c r="AU54" i="8"/>
  <c r="K108" i="8"/>
  <c r="BJ54" i="8"/>
  <c r="L103" i="8"/>
  <c r="J108" i="8"/>
  <c r="J110" i="8"/>
  <c r="BP54" i="8"/>
  <c r="CW52" i="8"/>
  <c r="D64" i="8"/>
  <c r="W54" i="8"/>
  <c r="CW35" i="8"/>
  <c r="CW53" i="8"/>
  <c r="L92" i="8"/>
  <c r="L108" i="8" s="1"/>
  <c r="BA54" i="8"/>
  <c r="CW37" i="8"/>
  <c r="D69" i="8" s="1"/>
  <c r="Q54" i="8"/>
  <c r="L106" i="8"/>
  <c r="AR54" i="8"/>
  <c r="BD54" i="8"/>
  <c r="L54" i="8"/>
  <c r="CW38" i="8"/>
  <c r="D81" i="8" s="1"/>
  <c r="L110" i="8" l="1"/>
  <c r="D60" i="8"/>
  <c r="D73" i="8"/>
  <c r="CW54" i="8"/>
  <c r="U52" i="2" l="1"/>
  <c r="Y52" i="2" l="1"/>
  <c r="S52" i="7"/>
  <c r="W35" i="7" l="1"/>
  <c r="S52" i="6" l="1"/>
  <c r="S52" i="5"/>
  <c r="S52" i="4"/>
  <c r="S52" i="3"/>
  <c r="S52" i="2"/>
  <c r="CI53" i="7"/>
  <c r="F40" i="7"/>
  <c r="E40" i="7"/>
  <c r="Q38" i="6" l="1"/>
  <c r="V35" i="7" l="1"/>
  <c r="L38" i="7"/>
  <c r="M51" i="6" l="1"/>
  <c r="L51" i="6"/>
  <c r="K51" i="6"/>
  <c r="BD52" i="6"/>
  <c r="BB50" i="6"/>
  <c r="BC52" i="6"/>
  <c r="F51" i="6"/>
  <c r="BP52" i="7"/>
  <c r="E51" i="6"/>
  <c r="F53" i="6" l="1"/>
  <c r="D53" i="6"/>
  <c r="K106" i="7" l="1"/>
  <c r="J106" i="7"/>
  <c r="I106" i="7"/>
  <c r="H106" i="7"/>
  <c r="K105" i="7"/>
  <c r="J105" i="7"/>
  <c r="I105" i="7"/>
  <c r="H105" i="7"/>
  <c r="K104" i="7"/>
  <c r="J104" i="7"/>
  <c r="I104" i="7"/>
  <c r="H104" i="7"/>
  <c r="K103" i="7"/>
  <c r="J103" i="7"/>
  <c r="I103" i="7"/>
  <c r="H103" i="7"/>
  <c r="K102" i="7"/>
  <c r="J102" i="7"/>
  <c r="I102" i="7"/>
  <c r="I110" i="7" s="1"/>
  <c r="H102" i="7"/>
  <c r="K101" i="7"/>
  <c r="J101" i="7"/>
  <c r="I101" i="7"/>
  <c r="H101" i="7"/>
  <c r="L100" i="7"/>
  <c r="K100" i="7"/>
  <c r="J100" i="7"/>
  <c r="I100" i="7"/>
  <c r="H100" i="7"/>
  <c r="K99" i="7"/>
  <c r="J99" i="7"/>
  <c r="I99" i="7"/>
  <c r="H99" i="7"/>
  <c r="K98" i="7"/>
  <c r="J98" i="7"/>
  <c r="I98" i="7"/>
  <c r="H98" i="7"/>
  <c r="K97" i="7"/>
  <c r="J97" i="7"/>
  <c r="I97" i="7"/>
  <c r="H97" i="7"/>
  <c r="L96" i="7"/>
  <c r="K96" i="7"/>
  <c r="J96" i="7"/>
  <c r="I96" i="7"/>
  <c r="H96" i="7"/>
  <c r="K95" i="7"/>
  <c r="J95" i="7"/>
  <c r="I95" i="7"/>
  <c r="H95" i="7"/>
  <c r="L94" i="7"/>
  <c r="K94" i="7"/>
  <c r="J94" i="7"/>
  <c r="I94" i="7"/>
  <c r="H94" i="7"/>
  <c r="K93" i="7"/>
  <c r="J93" i="7"/>
  <c r="I93" i="7"/>
  <c r="H93" i="7"/>
  <c r="K92" i="7"/>
  <c r="J92" i="7"/>
  <c r="I92" i="7"/>
  <c r="H92" i="7"/>
  <c r="H108" i="7" s="1"/>
  <c r="L91" i="7"/>
  <c r="K91" i="7"/>
  <c r="J91" i="7"/>
  <c r="I91" i="7"/>
  <c r="H91" i="7"/>
  <c r="K90" i="7"/>
  <c r="J90" i="7"/>
  <c r="I90" i="7"/>
  <c r="H90" i="7"/>
  <c r="C84" i="7"/>
  <c r="D83" i="7"/>
  <c r="C83" i="7"/>
  <c r="C82" i="7"/>
  <c r="CV54" i="7"/>
  <c r="CU54" i="7"/>
  <c r="CT54" i="7"/>
  <c r="CS54" i="7"/>
  <c r="CQ54" i="7"/>
  <c r="CP54" i="7"/>
  <c r="CG54" i="7"/>
  <c r="CE54" i="7"/>
  <c r="CD54" i="7"/>
  <c r="BS54" i="7"/>
  <c r="BR54" i="7"/>
  <c r="BN54" i="7"/>
  <c r="BI54" i="7"/>
  <c r="BG54" i="7"/>
  <c r="BF54" i="7"/>
  <c r="AU54" i="7"/>
  <c r="AT54" i="7"/>
  <c r="AK54" i="7"/>
  <c r="AI54" i="7"/>
  <c r="AH54" i="7"/>
  <c r="V54" i="7"/>
  <c r="J54" i="7"/>
  <c r="G54" i="7"/>
  <c r="CR53" i="7"/>
  <c r="CR54" i="7" s="1"/>
  <c r="CQ53" i="7"/>
  <c r="CP53" i="7"/>
  <c r="CO53" i="7"/>
  <c r="CO54" i="7" s="1"/>
  <c r="CN53" i="7"/>
  <c r="CN54" i="7" s="1"/>
  <c r="CM53" i="7"/>
  <c r="CM54" i="7" s="1"/>
  <c r="CL53" i="7"/>
  <c r="CL54" i="7" s="1"/>
  <c r="CK53" i="7"/>
  <c r="CK54" i="7" s="1"/>
  <c r="CJ53" i="7"/>
  <c r="CJ54" i="7" s="1"/>
  <c r="CI54" i="7"/>
  <c r="CH53" i="7"/>
  <c r="CH54" i="7" s="1"/>
  <c r="CG53" i="7"/>
  <c r="CF53" i="7"/>
  <c r="CF54" i="7" s="1"/>
  <c r="CE53" i="7"/>
  <c r="CD53" i="7"/>
  <c r="CC53" i="7"/>
  <c r="CC54" i="7" s="1"/>
  <c r="CB53" i="7"/>
  <c r="CB54" i="7" s="1"/>
  <c r="CA53" i="7"/>
  <c r="CA54" i="7" s="1"/>
  <c r="BZ53" i="7"/>
  <c r="BZ54" i="7" s="1"/>
  <c r="BY53" i="7"/>
  <c r="BY54" i="7" s="1"/>
  <c r="BX53" i="7"/>
  <c r="BX54" i="7" s="1"/>
  <c r="BW53" i="7"/>
  <c r="BW54" i="7" s="1"/>
  <c r="BV53" i="7"/>
  <c r="BV54" i="7" s="1"/>
  <c r="BU53" i="7"/>
  <c r="BU54" i="7" s="1"/>
  <c r="BT53" i="7"/>
  <c r="BT54" i="7" s="1"/>
  <c r="BS53" i="7"/>
  <c r="BR53" i="7"/>
  <c r="BQ53" i="7"/>
  <c r="BQ54" i="7" s="1"/>
  <c r="BP53" i="7"/>
  <c r="BP54" i="7" s="1"/>
  <c r="BO53" i="7"/>
  <c r="BO54" i="7" s="1"/>
  <c r="BN53" i="7"/>
  <c r="BM53" i="7"/>
  <c r="BM54" i="7" s="1"/>
  <c r="BL53" i="7"/>
  <c r="BL54" i="7" s="1"/>
  <c r="BK53" i="7"/>
  <c r="BK54" i="7" s="1"/>
  <c r="BJ53" i="7"/>
  <c r="BJ54" i="7" s="1"/>
  <c r="BI53" i="7"/>
  <c r="L97" i="7" s="1"/>
  <c r="BH53" i="7"/>
  <c r="BH54" i="7" s="1"/>
  <c r="BG53" i="7"/>
  <c r="L105" i="7" s="1"/>
  <c r="BF53" i="7"/>
  <c r="BE53" i="7"/>
  <c r="L93" i="7" s="1"/>
  <c r="BD53" i="7"/>
  <c r="L104" i="7" s="1"/>
  <c r="BC53" i="7"/>
  <c r="L98" i="7" s="1"/>
  <c r="BB53" i="7"/>
  <c r="L99" i="7" s="1"/>
  <c r="BA53" i="7"/>
  <c r="L92" i="7" s="1"/>
  <c r="AZ53" i="7"/>
  <c r="AZ54" i="7" s="1"/>
  <c r="AY53" i="7"/>
  <c r="AY54" i="7" s="1"/>
  <c r="AX53" i="7"/>
  <c r="AX54" i="7" s="1"/>
  <c r="AW53" i="7"/>
  <c r="AW54" i="7" s="1"/>
  <c r="AV53" i="7"/>
  <c r="AV54" i="7" s="1"/>
  <c r="AU53" i="7"/>
  <c r="L102" i="7" s="1"/>
  <c r="AT53" i="7"/>
  <c r="L95" i="7" s="1"/>
  <c r="AS53" i="7"/>
  <c r="AS54" i="7" s="1"/>
  <c r="AR53" i="7"/>
  <c r="AR54" i="7" s="1"/>
  <c r="AQ53" i="7"/>
  <c r="AQ54" i="7" s="1"/>
  <c r="AP53" i="7"/>
  <c r="AP54" i="7" s="1"/>
  <c r="AO53" i="7"/>
  <c r="AO54" i="7" s="1"/>
  <c r="AN53" i="7"/>
  <c r="AN54" i="7" s="1"/>
  <c r="AM53" i="7"/>
  <c r="AM54" i="7" s="1"/>
  <c r="AL53" i="7"/>
  <c r="AL54" i="7" s="1"/>
  <c r="AK53" i="7"/>
  <c r="AJ53" i="7"/>
  <c r="AJ54" i="7" s="1"/>
  <c r="AI53" i="7"/>
  <c r="AH53" i="7"/>
  <c r="AG53" i="7"/>
  <c r="AG54" i="7" s="1"/>
  <c r="AF53" i="7"/>
  <c r="AF54" i="7" s="1"/>
  <c r="AE53" i="7"/>
  <c r="AE54" i="7" s="1"/>
  <c r="AD53" i="7"/>
  <c r="AD54" i="7" s="1"/>
  <c r="AC53" i="7"/>
  <c r="AC54" i="7" s="1"/>
  <c r="AB53" i="7"/>
  <c r="AB54" i="7" s="1"/>
  <c r="AA53" i="7"/>
  <c r="AA54" i="7" s="1"/>
  <c r="Z53" i="7"/>
  <c r="Z54" i="7" s="1"/>
  <c r="Y53" i="7"/>
  <c r="Y54" i="7" s="1"/>
  <c r="X53" i="7"/>
  <c r="X54" i="7" s="1"/>
  <c r="W53" i="7"/>
  <c r="V53" i="7"/>
  <c r="U53" i="7"/>
  <c r="U54" i="7" s="1"/>
  <c r="T53" i="7"/>
  <c r="T54" i="7" s="1"/>
  <c r="S53" i="7"/>
  <c r="S54" i="7" s="1"/>
  <c r="R53" i="7"/>
  <c r="R54" i="7" s="1"/>
  <c r="Q53" i="7"/>
  <c r="Q54" i="7" s="1"/>
  <c r="P53" i="7"/>
  <c r="P54" i="7" s="1"/>
  <c r="O53" i="7"/>
  <c r="O54" i="7" s="1"/>
  <c r="N53" i="7"/>
  <c r="N54" i="7" s="1"/>
  <c r="M53" i="7"/>
  <c r="M54" i="7" s="1"/>
  <c r="L53" i="7"/>
  <c r="L54" i="7" s="1"/>
  <c r="K53" i="7"/>
  <c r="K54" i="7" s="1"/>
  <c r="J53" i="7"/>
  <c r="I53" i="7"/>
  <c r="H53" i="7"/>
  <c r="H54" i="7" s="1"/>
  <c r="G53" i="7"/>
  <c r="F54" i="7"/>
  <c r="E53" i="7"/>
  <c r="E54" i="7" s="1"/>
  <c r="D53" i="7"/>
  <c r="CW52" i="7"/>
  <c r="CW51" i="7"/>
  <c r="CW50" i="7"/>
  <c r="CW49" i="7"/>
  <c r="CW48" i="7"/>
  <c r="CW47" i="7"/>
  <c r="CW46" i="7"/>
  <c r="CW45" i="7"/>
  <c r="CW44" i="7"/>
  <c r="D72" i="7" s="1"/>
  <c r="CW43" i="7"/>
  <c r="D84" i="7" s="1"/>
  <c r="CW42" i="7"/>
  <c r="CW41" i="7"/>
  <c r="D71" i="7" s="1"/>
  <c r="CW40" i="7"/>
  <c r="D82" i="7" s="1"/>
  <c r="CW39" i="7"/>
  <c r="D70" i="7" s="1"/>
  <c r="CW38" i="7"/>
  <c r="D81" i="7" s="1"/>
  <c r="CW37" i="7"/>
  <c r="D69" i="7" s="1"/>
  <c r="CW36" i="7"/>
  <c r="D80" i="7" s="1"/>
  <c r="W54" i="7"/>
  <c r="CW34" i="7"/>
  <c r="D68" i="7" s="1"/>
  <c r="CW33" i="7"/>
  <c r="D79" i="7" s="1"/>
  <c r="CW32" i="7"/>
  <c r="D67" i="7" s="1"/>
  <c r="CW31" i="7"/>
  <c r="D66" i="7" s="1"/>
  <c r="CW30" i="7"/>
  <c r="D78" i="7" s="1"/>
  <c r="CW29" i="7"/>
  <c r="CW28" i="7"/>
  <c r="D77" i="7" s="1"/>
  <c r="CW27" i="7"/>
  <c r="D63" i="7" s="1"/>
  <c r="CW26" i="7"/>
  <c r="CW25" i="7"/>
  <c r="CW24" i="7"/>
  <c r="CW23" i="7"/>
  <c r="CW22" i="7"/>
  <c r="D65" i="7" s="1"/>
  <c r="CW21" i="7"/>
  <c r="CW20" i="7"/>
  <c r="CW19" i="7"/>
  <c r="CW18" i="7"/>
  <c r="CW17" i="7"/>
  <c r="D74" i="7" s="1"/>
  <c r="CW16" i="7"/>
  <c r="CW15" i="7"/>
  <c r="CW14" i="7"/>
  <c r="CW13" i="7"/>
  <c r="CW12" i="7"/>
  <c r="CW10" i="7"/>
  <c r="CW9" i="7"/>
  <c r="D61" i="7" l="1"/>
  <c r="D76" i="7"/>
  <c r="BC54" i="7"/>
  <c r="K108" i="7"/>
  <c r="K109" i="7"/>
  <c r="I108" i="7"/>
  <c r="I109" i="7"/>
  <c r="J110" i="7"/>
  <c r="J108" i="7"/>
  <c r="H109" i="7"/>
  <c r="K110" i="7"/>
  <c r="BA54" i="7"/>
  <c r="L103" i="7"/>
  <c r="L110" i="7" s="1"/>
  <c r="CW53" i="7"/>
  <c r="D75" i="7"/>
  <c r="D73" i="7" s="1"/>
  <c r="BB54" i="7"/>
  <c r="J109" i="7"/>
  <c r="H110" i="7"/>
  <c r="CW11" i="7"/>
  <c r="D62" i="7" s="1"/>
  <c r="L90" i="7"/>
  <c r="L108" i="7" s="1"/>
  <c r="D54" i="7"/>
  <c r="L106" i="7"/>
  <c r="L101" i="7"/>
  <c r="BD54" i="7"/>
  <c r="I54" i="7"/>
  <c r="BE54" i="7"/>
  <c r="CW35" i="7"/>
  <c r="W35" i="6"/>
  <c r="D60" i="7" l="1"/>
  <c r="L109" i="7"/>
  <c r="CW54" i="7"/>
  <c r="M11" i="6" l="1"/>
  <c r="F51" i="5" l="1"/>
  <c r="BD50" i="5" l="1"/>
  <c r="BD52" i="5"/>
  <c r="BB50" i="5"/>
  <c r="BB52" i="5"/>
  <c r="BC52" i="5"/>
  <c r="BC50" i="5"/>
  <c r="BA52" i="5"/>
  <c r="BA50" i="5"/>
  <c r="F53" i="5"/>
  <c r="BP52" i="6"/>
  <c r="BM50" i="6"/>
  <c r="I50" i="6"/>
  <c r="L11" i="6"/>
  <c r="K106" i="6" l="1"/>
  <c r="J106" i="6"/>
  <c r="I106" i="6"/>
  <c r="H106" i="6"/>
  <c r="L105" i="6"/>
  <c r="K105" i="6"/>
  <c r="J105" i="6"/>
  <c r="I105" i="6"/>
  <c r="H105" i="6"/>
  <c r="K104" i="6"/>
  <c r="J104" i="6"/>
  <c r="I104" i="6"/>
  <c r="H104" i="6"/>
  <c r="K103" i="6"/>
  <c r="J103" i="6"/>
  <c r="I103" i="6"/>
  <c r="H103" i="6"/>
  <c r="K102" i="6"/>
  <c r="J102" i="6"/>
  <c r="I102" i="6"/>
  <c r="H102" i="6"/>
  <c r="K101" i="6"/>
  <c r="J101" i="6"/>
  <c r="I101" i="6"/>
  <c r="H101" i="6"/>
  <c r="K100" i="6"/>
  <c r="J100" i="6"/>
  <c r="I100" i="6"/>
  <c r="H100" i="6"/>
  <c r="K99" i="6"/>
  <c r="J99" i="6"/>
  <c r="I99" i="6"/>
  <c r="H99" i="6"/>
  <c r="K98" i="6"/>
  <c r="J98" i="6"/>
  <c r="I98" i="6"/>
  <c r="H98" i="6"/>
  <c r="K97" i="6"/>
  <c r="J97" i="6"/>
  <c r="I97" i="6"/>
  <c r="H97" i="6"/>
  <c r="K96" i="6"/>
  <c r="J96" i="6"/>
  <c r="I96" i="6"/>
  <c r="H96" i="6"/>
  <c r="K95" i="6"/>
  <c r="J95" i="6"/>
  <c r="I95" i="6"/>
  <c r="H95" i="6"/>
  <c r="K94" i="6"/>
  <c r="J94" i="6"/>
  <c r="I94" i="6"/>
  <c r="H94" i="6"/>
  <c r="K93" i="6"/>
  <c r="J93" i="6"/>
  <c r="I93" i="6"/>
  <c r="H93" i="6"/>
  <c r="K92" i="6"/>
  <c r="J92" i="6"/>
  <c r="I92" i="6"/>
  <c r="H92" i="6"/>
  <c r="K91" i="6"/>
  <c r="J91" i="6"/>
  <c r="J108" i="6" s="1"/>
  <c r="I91" i="6"/>
  <c r="H91" i="6"/>
  <c r="K90" i="6"/>
  <c r="J90" i="6"/>
  <c r="I90" i="6"/>
  <c r="H90" i="6"/>
  <c r="C84" i="6"/>
  <c r="C83" i="6"/>
  <c r="C82" i="6"/>
  <c r="CV54" i="6"/>
  <c r="CU54" i="6"/>
  <c r="CT54" i="6"/>
  <c r="CS54" i="6"/>
  <c r="CF54" i="6"/>
  <c r="BH54" i="6"/>
  <c r="BG54" i="6"/>
  <c r="AV54" i="6"/>
  <c r="CR53" i="6"/>
  <c r="CR54" i="6" s="1"/>
  <c r="CQ53" i="6"/>
  <c r="CQ54" i="6" s="1"/>
  <c r="CP53" i="6"/>
  <c r="CP54" i="6" s="1"/>
  <c r="CO53" i="6"/>
  <c r="CO54" i="6" s="1"/>
  <c r="CN53" i="6"/>
  <c r="CN54" i="6" s="1"/>
  <c r="CM53" i="6"/>
  <c r="CM54" i="6" s="1"/>
  <c r="CL53" i="6"/>
  <c r="CL54" i="6" s="1"/>
  <c r="CK53" i="6"/>
  <c r="CK54" i="6" s="1"/>
  <c r="CJ53" i="6"/>
  <c r="CJ54" i="6" s="1"/>
  <c r="CI53" i="6"/>
  <c r="CI54" i="6" s="1"/>
  <c r="CH53" i="6"/>
  <c r="CH54" i="6" s="1"/>
  <c r="CG53" i="6"/>
  <c r="CG54" i="6" s="1"/>
  <c r="CF53" i="6"/>
  <c r="CE53" i="6"/>
  <c r="CE54" i="6" s="1"/>
  <c r="CD53" i="6"/>
  <c r="CD54" i="6" s="1"/>
  <c r="CC53" i="6"/>
  <c r="CC54" i="6" s="1"/>
  <c r="CB53" i="6"/>
  <c r="CB54" i="6" s="1"/>
  <c r="CA53" i="6"/>
  <c r="BZ53" i="6"/>
  <c r="BZ54" i="6" s="1"/>
  <c r="BY53" i="6"/>
  <c r="BY54" i="6" s="1"/>
  <c r="BX53" i="6"/>
  <c r="BX54" i="6" s="1"/>
  <c r="BW53" i="6"/>
  <c r="BW54" i="6" s="1"/>
  <c r="BV53" i="6"/>
  <c r="BV54" i="6" s="1"/>
  <c r="BU53" i="6"/>
  <c r="BU54" i="6" s="1"/>
  <c r="BT53" i="6"/>
  <c r="BT54" i="6" s="1"/>
  <c r="BS53" i="6"/>
  <c r="BS54" i="6" s="1"/>
  <c r="BR53" i="6"/>
  <c r="BR54" i="6" s="1"/>
  <c r="BQ53" i="6"/>
  <c r="BQ54" i="6" s="1"/>
  <c r="BP53" i="6"/>
  <c r="BP54" i="6" s="1"/>
  <c r="BO53" i="6"/>
  <c r="BO54" i="6" s="1"/>
  <c r="BN53" i="6"/>
  <c r="BN54" i="6" s="1"/>
  <c r="BM53" i="6"/>
  <c r="BM54" i="6" s="1"/>
  <c r="BL53" i="6"/>
  <c r="BL54" i="6" s="1"/>
  <c r="BK53" i="6"/>
  <c r="BK54" i="6" s="1"/>
  <c r="BJ53" i="6"/>
  <c r="L103" i="6" s="1"/>
  <c r="BI53" i="6"/>
  <c r="BI54" i="6" s="1"/>
  <c r="BH53" i="6"/>
  <c r="L91" i="6" s="1"/>
  <c r="BG53" i="6"/>
  <c r="BF53" i="6"/>
  <c r="L100" i="6" s="1"/>
  <c r="BE53" i="6"/>
  <c r="BE54" i="6" s="1"/>
  <c r="BD53" i="6"/>
  <c r="L104" i="6" s="1"/>
  <c r="BC53" i="6"/>
  <c r="L98" i="6" s="1"/>
  <c r="BB53" i="6"/>
  <c r="BB54" i="6" s="1"/>
  <c r="BA53" i="6"/>
  <c r="L92" i="6" s="1"/>
  <c r="AZ53" i="6"/>
  <c r="AZ54" i="6" s="1"/>
  <c r="AY53" i="6"/>
  <c r="AY54" i="6" s="1"/>
  <c r="AX53" i="6"/>
  <c r="AX54" i="6" s="1"/>
  <c r="AW53" i="6"/>
  <c r="AW54" i="6" s="1"/>
  <c r="AV53" i="6"/>
  <c r="AU53" i="6"/>
  <c r="L102" i="6" s="1"/>
  <c r="AT53" i="6"/>
  <c r="L95" i="6" s="1"/>
  <c r="AS53" i="6"/>
  <c r="AS54" i="6" s="1"/>
  <c r="AR53" i="6"/>
  <c r="L90" i="6" s="1"/>
  <c r="AQ53" i="6"/>
  <c r="AQ54" i="6" s="1"/>
  <c r="AP53" i="6"/>
  <c r="AP54" i="6" s="1"/>
  <c r="AO53" i="6"/>
  <c r="AO54" i="6" s="1"/>
  <c r="AN53" i="6"/>
  <c r="AN54" i="6" s="1"/>
  <c r="AM53" i="6"/>
  <c r="AM54" i="6" s="1"/>
  <c r="AL53" i="6"/>
  <c r="AL54" i="6" s="1"/>
  <c r="AK53" i="6"/>
  <c r="AK54" i="6" s="1"/>
  <c r="AJ53" i="6"/>
  <c r="AJ54" i="6" s="1"/>
  <c r="AI53" i="6"/>
  <c r="AI54" i="6" s="1"/>
  <c r="AH53" i="6"/>
  <c r="AH54" i="6" s="1"/>
  <c r="AG53" i="6"/>
  <c r="AG54" i="6" s="1"/>
  <c r="AF53" i="6"/>
  <c r="AF54" i="6" s="1"/>
  <c r="AE53" i="6"/>
  <c r="AE54" i="6" s="1"/>
  <c r="AD53" i="6"/>
  <c r="AD54" i="6" s="1"/>
  <c r="AC53" i="6"/>
  <c r="AC54" i="6" s="1"/>
  <c r="AB53" i="6"/>
  <c r="AB54" i="6" s="1"/>
  <c r="AA53" i="6"/>
  <c r="AA54" i="6" s="1"/>
  <c r="Z53" i="6"/>
  <c r="Z54" i="6" s="1"/>
  <c r="Y53" i="6"/>
  <c r="Y54" i="6" s="1"/>
  <c r="X53" i="6"/>
  <c r="X54" i="6" s="1"/>
  <c r="W53" i="6"/>
  <c r="V53" i="6"/>
  <c r="V54" i="6" s="1"/>
  <c r="U53" i="6"/>
  <c r="U54" i="6" s="1"/>
  <c r="T53" i="6"/>
  <c r="T54" i="6" s="1"/>
  <c r="S53" i="6"/>
  <c r="S54" i="6" s="1"/>
  <c r="R53" i="6"/>
  <c r="R54" i="6" s="1"/>
  <c r="Q53" i="6"/>
  <c r="Q54" i="6" s="1"/>
  <c r="P53" i="6"/>
  <c r="P54" i="6" s="1"/>
  <c r="O53" i="6"/>
  <c r="O54" i="6" s="1"/>
  <c r="N53" i="6"/>
  <c r="N54" i="6" s="1"/>
  <c r="M53" i="6"/>
  <c r="M54" i="6" s="1"/>
  <c r="L53" i="6"/>
  <c r="L54" i="6" s="1"/>
  <c r="K53" i="6"/>
  <c r="K54" i="6" s="1"/>
  <c r="J53" i="6"/>
  <c r="J54" i="6" s="1"/>
  <c r="I53" i="6"/>
  <c r="I54" i="6" s="1"/>
  <c r="H53" i="6"/>
  <c r="H54" i="6" s="1"/>
  <c r="G53" i="6"/>
  <c r="G54" i="6" s="1"/>
  <c r="F54" i="6"/>
  <c r="E53" i="6"/>
  <c r="E54" i="6" s="1"/>
  <c r="CW52" i="6"/>
  <c r="CW51" i="6"/>
  <c r="CW50" i="6"/>
  <c r="CW49" i="6"/>
  <c r="CW48" i="6"/>
  <c r="CW47" i="6"/>
  <c r="CW46" i="6"/>
  <c r="CW45" i="6"/>
  <c r="CW44" i="6"/>
  <c r="D72" i="6" s="1"/>
  <c r="CW43" i="6"/>
  <c r="D84" i="6" s="1"/>
  <c r="CW42" i="6"/>
  <c r="D83" i="6" s="1"/>
  <c r="CW41" i="6"/>
  <c r="D71" i="6" s="1"/>
  <c r="CW40" i="6"/>
  <c r="D82" i="6" s="1"/>
  <c r="CW39" i="6"/>
  <c r="D70" i="6" s="1"/>
  <c r="CW38" i="6"/>
  <c r="D81" i="6" s="1"/>
  <c r="CW37" i="6"/>
  <c r="D69" i="6" s="1"/>
  <c r="CW36" i="6"/>
  <c r="D80" i="6" s="1"/>
  <c r="CW34" i="6"/>
  <c r="D68" i="6" s="1"/>
  <c r="CW33" i="6"/>
  <c r="D79" i="6" s="1"/>
  <c r="CW32" i="6"/>
  <c r="D67" i="6" s="1"/>
  <c r="CW31" i="6"/>
  <c r="D66" i="6" s="1"/>
  <c r="CW30" i="6"/>
  <c r="D78" i="6" s="1"/>
  <c r="CW29" i="6"/>
  <c r="CW28" i="6"/>
  <c r="CW26" i="6"/>
  <c r="CW25" i="6"/>
  <c r="CW24" i="6"/>
  <c r="CW23" i="6"/>
  <c r="CW22" i="6"/>
  <c r="D65" i="6" s="1"/>
  <c r="CW21" i="6"/>
  <c r="CW20" i="6"/>
  <c r="CW19" i="6"/>
  <c r="CW18" i="6"/>
  <c r="D61" i="6" s="1"/>
  <c r="CW17" i="6"/>
  <c r="D74" i="6" s="1"/>
  <c r="CW16" i="6"/>
  <c r="CW15" i="6"/>
  <c r="CW14" i="6"/>
  <c r="CW13" i="6"/>
  <c r="CW12" i="6"/>
  <c r="CW11" i="6"/>
  <c r="CW10" i="6"/>
  <c r="CW9" i="6"/>
  <c r="K110" i="6" l="1"/>
  <c r="BJ54" i="6"/>
  <c r="J110" i="6"/>
  <c r="BA54" i="6"/>
  <c r="H110" i="6"/>
  <c r="D64" i="6"/>
  <c r="I110" i="6"/>
  <c r="D76" i="6"/>
  <c r="D77" i="6"/>
  <c r="CW53" i="6"/>
  <c r="L94" i="6"/>
  <c r="H108" i="6"/>
  <c r="H109" i="6"/>
  <c r="L97" i="6"/>
  <c r="I108" i="6"/>
  <c r="I109" i="6"/>
  <c r="D62" i="6"/>
  <c r="J109" i="6"/>
  <c r="K108" i="6"/>
  <c r="K109" i="6"/>
  <c r="D75" i="6"/>
  <c r="AU54" i="6"/>
  <c r="L93" i="6"/>
  <c r="W54" i="6"/>
  <c r="CW35" i="6"/>
  <c r="L108" i="6"/>
  <c r="D54" i="6"/>
  <c r="L99" i="6"/>
  <c r="L101" i="6"/>
  <c r="L106" i="6"/>
  <c r="BC54" i="6"/>
  <c r="CA54" i="6"/>
  <c r="L96" i="6"/>
  <c r="CW27" i="6"/>
  <c r="D63" i="6" s="1"/>
  <c r="AR54" i="6"/>
  <c r="BD54" i="6"/>
  <c r="AT54" i="6"/>
  <c r="BF54" i="6"/>
  <c r="D73" i="6" l="1"/>
  <c r="D60" i="6"/>
  <c r="L109" i="6"/>
  <c r="CW54" i="6"/>
  <c r="L110" i="6"/>
  <c r="L27" i="5" l="1"/>
  <c r="S38" i="4" l="1"/>
  <c r="Q38" i="4"/>
  <c r="P19" i="3"/>
  <c r="Q19" i="3"/>
  <c r="E51" i="4"/>
  <c r="V35" i="5" l="1"/>
  <c r="W35" i="5" l="1"/>
  <c r="BD52" i="4"/>
  <c r="BC50" i="4"/>
  <c r="F53" i="4" l="1"/>
  <c r="BP52" i="5"/>
  <c r="BM52" i="5"/>
  <c r="I52" i="5"/>
  <c r="L11" i="5" l="1"/>
  <c r="K106" i="5" l="1"/>
  <c r="J106" i="5"/>
  <c r="I106" i="5"/>
  <c r="H106" i="5"/>
  <c r="K105" i="5"/>
  <c r="J105" i="5"/>
  <c r="I105" i="5"/>
  <c r="H105" i="5"/>
  <c r="L104" i="5"/>
  <c r="K104" i="5"/>
  <c r="J104" i="5"/>
  <c r="I104" i="5"/>
  <c r="H104" i="5"/>
  <c r="K103" i="5"/>
  <c r="J103" i="5"/>
  <c r="I103" i="5"/>
  <c r="H103" i="5"/>
  <c r="K102" i="5"/>
  <c r="J102" i="5"/>
  <c r="J110" i="5" s="1"/>
  <c r="I102" i="5"/>
  <c r="H102" i="5"/>
  <c r="L101" i="5"/>
  <c r="K101" i="5"/>
  <c r="J101" i="5"/>
  <c r="I101" i="5"/>
  <c r="H101" i="5"/>
  <c r="K100" i="5"/>
  <c r="J100" i="5"/>
  <c r="I100" i="5"/>
  <c r="H100" i="5"/>
  <c r="K99" i="5"/>
  <c r="J99" i="5"/>
  <c r="I99" i="5"/>
  <c r="H99" i="5"/>
  <c r="K98" i="5"/>
  <c r="J98" i="5"/>
  <c r="I98" i="5"/>
  <c r="H98" i="5"/>
  <c r="K97" i="5"/>
  <c r="J97" i="5"/>
  <c r="I97" i="5"/>
  <c r="H97" i="5"/>
  <c r="K96" i="5"/>
  <c r="J96" i="5"/>
  <c r="I96" i="5"/>
  <c r="H96" i="5"/>
  <c r="K95" i="5"/>
  <c r="J95" i="5"/>
  <c r="I95" i="5"/>
  <c r="H95" i="5"/>
  <c r="K94" i="5"/>
  <c r="J94" i="5"/>
  <c r="I94" i="5"/>
  <c r="H94" i="5"/>
  <c r="K93" i="5"/>
  <c r="J93" i="5"/>
  <c r="I93" i="5"/>
  <c r="H93" i="5"/>
  <c r="L92" i="5"/>
  <c r="K92" i="5"/>
  <c r="J92" i="5"/>
  <c r="I92" i="5"/>
  <c r="H92" i="5"/>
  <c r="K91" i="5"/>
  <c r="J91" i="5"/>
  <c r="I91" i="5"/>
  <c r="H91" i="5"/>
  <c r="K90" i="5"/>
  <c r="J90" i="5"/>
  <c r="I90" i="5"/>
  <c r="H90" i="5"/>
  <c r="C84" i="5"/>
  <c r="C83" i="5"/>
  <c r="C82" i="5"/>
  <c r="D69" i="5"/>
  <c r="D68" i="5"/>
  <c r="CV54" i="5"/>
  <c r="CU54" i="5"/>
  <c r="CT54" i="5"/>
  <c r="CS54" i="5"/>
  <c r="CL54" i="5"/>
  <c r="CI54" i="5"/>
  <c r="CH54" i="5"/>
  <c r="CG54" i="5"/>
  <c r="BN54" i="5"/>
  <c r="BK54" i="5"/>
  <c r="BJ54" i="5"/>
  <c r="BI54" i="5"/>
  <c r="BH54" i="5"/>
  <c r="BB54" i="5"/>
  <c r="AD54" i="5"/>
  <c r="AA54" i="5"/>
  <c r="Z54" i="5"/>
  <c r="CR53" i="5"/>
  <c r="CR54" i="5" s="1"/>
  <c r="CQ53" i="5"/>
  <c r="CQ54" i="5" s="1"/>
  <c r="CP53" i="5"/>
  <c r="CP54" i="5" s="1"/>
  <c r="CO53" i="5"/>
  <c r="CO54" i="5" s="1"/>
  <c r="CN53" i="5"/>
  <c r="CN54" i="5" s="1"/>
  <c r="CM53" i="5"/>
  <c r="CM54" i="5" s="1"/>
  <c r="CL53" i="5"/>
  <c r="CK53" i="5"/>
  <c r="CK54" i="5" s="1"/>
  <c r="CJ53" i="5"/>
  <c r="CJ54" i="5" s="1"/>
  <c r="CI53" i="5"/>
  <c r="CH53" i="5"/>
  <c r="CG53" i="5"/>
  <c r="CF53" i="5"/>
  <c r="CF54" i="5" s="1"/>
  <c r="CE53" i="5"/>
  <c r="CE54" i="5" s="1"/>
  <c r="CD53" i="5"/>
  <c r="CD54" i="5" s="1"/>
  <c r="CC53" i="5"/>
  <c r="CC54" i="5" s="1"/>
  <c r="CB53" i="5"/>
  <c r="CB54" i="5" s="1"/>
  <c r="CA53" i="5"/>
  <c r="BZ53" i="5"/>
  <c r="BZ54" i="5" s="1"/>
  <c r="BY53" i="5"/>
  <c r="BY54" i="5" s="1"/>
  <c r="BX53" i="5"/>
  <c r="BX54" i="5" s="1"/>
  <c r="BW53" i="5"/>
  <c r="BW54" i="5" s="1"/>
  <c r="BV53" i="5"/>
  <c r="BV54" i="5" s="1"/>
  <c r="BU53" i="5"/>
  <c r="BU54" i="5" s="1"/>
  <c r="BT53" i="5"/>
  <c r="BT54" i="5" s="1"/>
  <c r="BS53" i="5"/>
  <c r="BS54" i="5" s="1"/>
  <c r="BR53" i="5"/>
  <c r="BR54" i="5" s="1"/>
  <c r="BQ53" i="5"/>
  <c r="BQ54" i="5" s="1"/>
  <c r="BP53" i="5"/>
  <c r="BO53" i="5"/>
  <c r="BO54" i="5" s="1"/>
  <c r="BN53" i="5"/>
  <c r="BM53" i="5"/>
  <c r="BL53" i="5"/>
  <c r="BL54" i="5" s="1"/>
  <c r="BK53" i="5"/>
  <c r="BJ53" i="5"/>
  <c r="L103" i="5" s="1"/>
  <c r="BI53" i="5"/>
  <c r="L97" i="5" s="1"/>
  <c r="BH53" i="5"/>
  <c r="L91" i="5" s="1"/>
  <c r="BG53" i="5"/>
  <c r="BG54" i="5" s="1"/>
  <c r="BF53" i="5"/>
  <c r="L100" i="5" s="1"/>
  <c r="BE53" i="5"/>
  <c r="L93" i="5" s="1"/>
  <c r="BD53" i="5"/>
  <c r="BD54" i="5" s="1"/>
  <c r="BC53" i="5"/>
  <c r="L98" i="5" s="1"/>
  <c r="BB53" i="5"/>
  <c r="L99" i="5" s="1"/>
  <c r="BA53" i="5"/>
  <c r="BA54" i="5" s="1"/>
  <c r="AZ53" i="5"/>
  <c r="AZ54" i="5" s="1"/>
  <c r="AY53" i="5"/>
  <c r="L106" i="5" s="1"/>
  <c r="AX53" i="5"/>
  <c r="AX54" i="5" s="1"/>
  <c r="AW53" i="5"/>
  <c r="L94" i="5" s="1"/>
  <c r="AV53" i="5"/>
  <c r="AV54" i="5" s="1"/>
  <c r="AU53" i="5"/>
  <c r="AU54" i="5" s="1"/>
  <c r="AT53" i="5"/>
  <c r="AT54" i="5" s="1"/>
  <c r="AS53" i="5"/>
  <c r="AS54" i="5" s="1"/>
  <c r="AR53" i="5"/>
  <c r="AR54" i="5" s="1"/>
  <c r="AQ53" i="5"/>
  <c r="AQ54" i="5" s="1"/>
  <c r="AP53" i="5"/>
  <c r="AP54" i="5" s="1"/>
  <c r="AO53" i="5"/>
  <c r="AO54" i="5" s="1"/>
  <c r="AN53" i="5"/>
  <c r="AN54" i="5" s="1"/>
  <c r="AM53" i="5"/>
  <c r="AM54" i="5" s="1"/>
  <c r="AL53" i="5"/>
  <c r="AL54" i="5" s="1"/>
  <c r="AK53" i="5"/>
  <c r="AK54" i="5" s="1"/>
  <c r="AJ53" i="5"/>
  <c r="AJ54" i="5" s="1"/>
  <c r="AI53" i="5"/>
  <c r="AI54" i="5" s="1"/>
  <c r="AH53" i="5"/>
  <c r="AH54" i="5" s="1"/>
  <c r="AG53" i="5"/>
  <c r="AG54" i="5" s="1"/>
  <c r="AF53" i="5"/>
  <c r="AF54" i="5" s="1"/>
  <c r="AE53" i="5"/>
  <c r="AE54" i="5" s="1"/>
  <c r="AD53" i="5"/>
  <c r="AC53" i="5"/>
  <c r="AC54" i="5" s="1"/>
  <c r="AB53" i="5"/>
  <c r="AB54" i="5" s="1"/>
  <c r="AA53" i="5"/>
  <c r="Z53" i="5"/>
  <c r="Y53" i="5"/>
  <c r="Y54" i="5" s="1"/>
  <c r="X53" i="5"/>
  <c r="X54" i="5" s="1"/>
  <c r="W53" i="5"/>
  <c r="W54" i="5" s="1"/>
  <c r="V53" i="5"/>
  <c r="V54" i="5" s="1"/>
  <c r="U53" i="5"/>
  <c r="U54" i="5" s="1"/>
  <c r="T53" i="5"/>
  <c r="T54" i="5" s="1"/>
  <c r="S53" i="5"/>
  <c r="R53" i="5"/>
  <c r="R54" i="5" s="1"/>
  <c r="Q53" i="5"/>
  <c r="P53" i="5"/>
  <c r="P54" i="5" s="1"/>
  <c r="O53" i="5"/>
  <c r="O54" i="5" s="1"/>
  <c r="N53" i="5"/>
  <c r="N54" i="5" s="1"/>
  <c r="M53" i="5"/>
  <c r="M54" i="5" s="1"/>
  <c r="L53" i="5"/>
  <c r="L54" i="5" s="1"/>
  <c r="K53" i="5"/>
  <c r="K54" i="5" s="1"/>
  <c r="J53" i="5"/>
  <c r="J54" i="5" s="1"/>
  <c r="I53" i="5"/>
  <c r="I54" i="5" s="1"/>
  <c r="H53" i="5"/>
  <c r="H54" i="5" s="1"/>
  <c r="G53" i="5"/>
  <c r="G54" i="5" s="1"/>
  <c r="F54" i="5"/>
  <c r="E53" i="5"/>
  <c r="E54" i="5" s="1"/>
  <c r="D53" i="5"/>
  <c r="D54" i="5" s="1"/>
  <c r="BP54" i="5"/>
  <c r="CW52" i="5"/>
  <c r="CW51" i="5"/>
  <c r="BM54" i="5"/>
  <c r="CW49" i="5"/>
  <c r="CW48" i="5"/>
  <c r="CW47" i="5"/>
  <c r="CW46" i="5"/>
  <c r="CW45" i="5"/>
  <c r="CW44" i="5"/>
  <c r="D72" i="5" s="1"/>
  <c r="CW43" i="5"/>
  <c r="D84" i="5" s="1"/>
  <c r="CW42" i="5"/>
  <c r="D83" i="5" s="1"/>
  <c r="CW41" i="5"/>
  <c r="D71" i="5" s="1"/>
  <c r="CW40" i="5"/>
  <c r="D82" i="5" s="1"/>
  <c r="CW39" i="5"/>
  <c r="D70" i="5" s="1"/>
  <c r="CW38" i="5"/>
  <c r="D81" i="5" s="1"/>
  <c r="S54" i="5"/>
  <c r="Q54" i="5"/>
  <c r="CW37" i="5"/>
  <c r="CW36" i="5"/>
  <c r="D80" i="5" s="1"/>
  <c r="CW35" i="5"/>
  <c r="CW34" i="5"/>
  <c r="CW33" i="5"/>
  <c r="D79" i="5" s="1"/>
  <c r="CW32" i="5"/>
  <c r="D67" i="5" s="1"/>
  <c r="CW31" i="5"/>
  <c r="D66" i="5" s="1"/>
  <c r="CW30" i="5"/>
  <c r="D78" i="5" s="1"/>
  <c r="CW29" i="5"/>
  <c r="CW28" i="5"/>
  <c r="D77" i="5" s="1"/>
  <c r="CW27" i="5"/>
  <c r="D63" i="5" s="1"/>
  <c r="CW26" i="5"/>
  <c r="CW25" i="5"/>
  <c r="CW24" i="5"/>
  <c r="CW23" i="5"/>
  <c r="CW22" i="5"/>
  <c r="D65" i="5" s="1"/>
  <c r="CW21" i="5"/>
  <c r="CW20" i="5"/>
  <c r="CW19" i="5"/>
  <c r="CW18" i="5"/>
  <c r="CW17" i="5"/>
  <c r="D74" i="5" s="1"/>
  <c r="CW16" i="5"/>
  <c r="CW15" i="5"/>
  <c r="CW14" i="5"/>
  <c r="CW13" i="5"/>
  <c r="CW12" i="5"/>
  <c r="CW11" i="5"/>
  <c r="CW10" i="5"/>
  <c r="CW9" i="5"/>
  <c r="D61" i="5" l="1"/>
  <c r="D64" i="5"/>
  <c r="I109" i="5"/>
  <c r="H108" i="5"/>
  <c r="I108" i="5"/>
  <c r="J109" i="5"/>
  <c r="D62" i="5"/>
  <c r="J108" i="5"/>
  <c r="K109" i="5"/>
  <c r="D75" i="5"/>
  <c r="D76" i="5"/>
  <c r="D73" i="5" s="1"/>
  <c r="K108" i="5"/>
  <c r="H110" i="5"/>
  <c r="L90" i="5"/>
  <c r="H109" i="5"/>
  <c r="I110" i="5"/>
  <c r="K110" i="5"/>
  <c r="AW54" i="5"/>
  <c r="AY54" i="5"/>
  <c r="L108" i="5"/>
  <c r="CW50" i="5"/>
  <c r="CW53" i="5"/>
  <c r="BC54" i="5"/>
  <c r="CA54" i="5"/>
  <c r="L96" i="5"/>
  <c r="L102" i="5"/>
  <c r="L110" i="5" s="1"/>
  <c r="L95" i="5"/>
  <c r="L109" i="5" s="1"/>
  <c r="BE54" i="5"/>
  <c r="BF54" i="5"/>
  <c r="L105" i="5"/>
  <c r="CW54" i="5" l="1"/>
  <c r="D60" i="5"/>
  <c r="W35" i="4" l="1"/>
  <c r="Q35" i="2" l="1"/>
  <c r="M27" i="4" l="1"/>
  <c r="F51" i="3" l="1"/>
  <c r="E51" i="3"/>
  <c r="V35" i="4" l="1"/>
  <c r="X29" i="3"/>
  <c r="Y29" i="3"/>
  <c r="BU29" i="3"/>
  <c r="W35" i="3" l="1"/>
  <c r="M51" i="3" l="1"/>
  <c r="L51" i="3"/>
  <c r="BD50" i="3" l="1"/>
  <c r="BA50" i="3"/>
  <c r="M11" i="4"/>
  <c r="L11" i="4"/>
  <c r="F53" i="3"/>
  <c r="BM50" i="4"/>
  <c r="I50" i="4"/>
  <c r="BP52" i="4"/>
  <c r="I110" i="4" l="1"/>
  <c r="K106" i="4"/>
  <c r="J106" i="4"/>
  <c r="I106" i="4"/>
  <c r="H106" i="4"/>
  <c r="K105" i="4"/>
  <c r="J105" i="4"/>
  <c r="I105" i="4"/>
  <c r="H105" i="4"/>
  <c r="K104" i="4"/>
  <c r="J104" i="4"/>
  <c r="I104" i="4"/>
  <c r="H104" i="4"/>
  <c r="K103" i="4"/>
  <c r="J103" i="4"/>
  <c r="I103" i="4"/>
  <c r="H103" i="4"/>
  <c r="K102" i="4"/>
  <c r="J102" i="4"/>
  <c r="I102" i="4"/>
  <c r="H102" i="4"/>
  <c r="H110" i="4" s="1"/>
  <c r="K101" i="4"/>
  <c r="J101" i="4"/>
  <c r="I101" i="4"/>
  <c r="H101" i="4"/>
  <c r="K100" i="4"/>
  <c r="J100" i="4"/>
  <c r="I100" i="4"/>
  <c r="H100" i="4"/>
  <c r="K99" i="4"/>
  <c r="J99" i="4"/>
  <c r="I99" i="4"/>
  <c r="H99" i="4"/>
  <c r="K98" i="4"/>
  <c r="J98" i="4"/>
  <c r="I98" i="4"/>
  <c r="H98" i="4"/>
  <c r="K97" i="4"/>
  <c r="J97" i="4"/>
  <c r="I97" i="4"/>
  <c r="H97" i="4"/>
  <c r="K96" i="4"/>
  <c r="J96" i="4"/>
  <c r="I96" i="4"/>
  <c r="H96" i="4"/>
  <c r="K95" i="4"/>
  <c r="J95" i="4"/>
  <c r="I95" i="4"/>
  <c r="H95" i="4"/>
  <c r="K94" i="4"/>
  <c r="J94" i="4"/>
  <c r="I94" i="4"/>
  <c r="H94" i="4"/>
  <c r="K93" i="4"/>
  <c r="J93" i="4"/>
  <c r="I93" i="4"/>
  <c r="H93" i="4"/>
  <c r="K92" i="4"/>
  <c r="J92" i="4"/>
  <c r="I92" i="4"/>
  <c r="H92" i="4"/>
  <c r="K91" i="4"/>
  <c r="J91" i="4"/>
  <c r="I91" i="4"/>
  <c r="H91" i="4"/>
  <c r="K90" i="4"/>
  <c r="J90" i="4"/>
  <c r="I90" i="4"/>
  <c r="H90" i="4"/>
  <c r="C84" i="4"/>
  <c r="C83" i="4"/>
  <c r="C82" i="4"/>
  <c r="CV54" i="4"/>
  <c r="CU54" i="4"/>
  <c r="CT54" i="4"/>
  <c r="CS54" i="4"/>
  <c r="CJ54" i="4"/>
  <c r="CH54" i="4"/>
  <c r="CE54" i="4"/>
  <c r="BS54" i="4"/>
  <c r="BG54" i="4"/>
  <c r="BB54" i="4"/>
  <c r="AU54" i="4"/>
  <c r="AC54" i="4"/>
  <c r="AB54" i="4"/>
  <c r="K54" i="4"/>
  <c r="CR53" i="4"/>
  <c r="CR54" i="4" s="1"/>
  <c r="CQ53" i="4"/>
  <c r="CQ54" i="4" s="1"/>
  <c r="CP53" i="4"/>
  <c r="CP54" i="4" s="1"/>
  <c r="CO53" i="4"/>
  <c r="CO54" i="4" s="1"/>
  <c r="CN53" i="4"/>
  <c r="CN54" i="4" s="1"/>
  <c r="CM53" i="4"/>
  <c r="CM54" i="4" s="1"/>
  <c r="CL53" i="4"/>
  <c r="CL54" i="4" s="1"/>
  <c r="CK53" i="4"/>
  <c r="CK54" i="4" s="1"/>
  <c r="CJ53" i="4"/>
  <c r="CI53" i="4"/>
  <c r="CI54" i="4" s="1"/>
  <c r="CH53" i="4"/>
  <c r="CG53" i="4"/>
  <c r="CG54" i="4" s="1"/>
  <c r="CF53" i="4"/>
  <c r="CF54" i="4" s="1"/>
  <c r="CE53" i="4"/>
  <c r="CD53" i="4"/>
  <c r="CD54" i="4" s="1"/>
  <c r="CC53" i="4"/>
  <c r="CC54" i="4" s="1"/>
  <c r="CB53" i="4"/>
  <c r="CB54" i="4" s="1"/>
  <c r="CA53" i="4"/>
  <c r="BZ53" i="4"/>
  <c r="BZ54" i="4" s="1"/>
  <c r="BY53" i="4"/>
  <c r="BY54" i="4" s="1"/>
  <c r="BX53" i="4"/>
  <c r="BX54" i="4" s="1"/>
  <c r="BW53" i="4"/>
  <c r="BW54" i="4" s="1"/>
  <c r="BV53" i="4"/>
  <c r="BV54" i="4" s="1"/>
  <c r="BU53" i="4"/>
  <c r="BT53" i="4"/>
  <c r="BT54" i="4" s="1"/>
  <c r="BS53" i="4"/>
  <c r="BR53" i="4"/>
  <c r="BR54" i="4" s="1"/>
  <c r="BQ53" i="4"/>
  <c r="BQ54" i="4" s="1"/>
  <c r="BP53" i="4"/>
  <c r="BP54" i="4" s="1"/>
  <c r="BO53" i="4"/>
  <c r="BO54" i="4" s="1"/>
  <c r="BN53" i="4"/>
  <c r="BN54" i="4" s="1"/>
  <c r="BM53" i="4"/>
  <c r="BM54" i="4" s="1"/>
  <c r="BL53" i="4"/>
  <c r="BL54" i="4" s="1"/>
  <c r="BK53" i="4"/>
  <c r="BK54" i="4" s="1"/>
  <c r="BJ53" i="4"/>
  <c r="L103" i="4" s="1"/>
  <c r="BI53" i="4"/>
  <c r="BI54" i="4" s="1"/>
  <c r="BH53" i="4"/>
  <c r="BH54" i="4" s="1"/>
  <c r="BG53" i="4"/>
  <c r="L105" i="4" s="1"/>
  <c r="BF53" i="4"/>
  <c r="BF54" i="4" s="1"/>
  <c r="BE53" i="4"/>
  <c r="L93" i="4" s="1"/>
  <c r="BD53" i="4"/>
  <c r="L104" i="4" s="1"/>
  <c r="BC53" i="4"/>
  <c r="L98" i="4" s="1"/>
  <c r="BB53" i="4"/>
  <c r="L99" i="4" s="1"/>
  <c r="BA53" i="4"/>
  <c r="L92" i="4" s="1"/>
  <c r="AZ53" i="4"/>
  <c r="AZ54" i="4" s="1"/>
  <c r="AY53" i="4"/>
  <c r="AY54" i="4" s="1"/>
  <c r="AX53" i="4"/>
  <c r="AX54" i="4" s="1"/>
  <c r="AW53" i="4"/>
  <c r="AW54" i="4" s="1"/>
  <c r="AV53" i="4"/>
  <c r="AV54" i="4" s="1"/>
  <c r="AU53" i="4"/>
  <c r="L102" i="4" s="1"/>
  <c r="AT53" i="4"/>
  <c r="L95" i="4" s="1"/>
  <c r="AS53" i="4"/>
  <c r="AS54" i="4" s="1"/>
  <c r="AR53" i="4"/>
  <c r="L90" i="4" s="1"/>
  <c r="AQ53" i="4"/>
  <c r="AQ54" i="4" s="1"/>
  <c r="AP53" i="4"/>
  <c r="AP54" i="4" s="1"/>
  <c r="AO53" i="4"/>
  <c r="AO54" i="4" s="1"/>
  <c r="AN53" i="4"/>
  <c r="AN54" i="4" s="1"/>
  <c r="AM53" i="4"/>
  <c r="AM54" i="4" s="1"/>
  <c r="AL53" i="4"/>
  <c r="AL54" i="4" s="1"/>
  <c r="AK53" i="4"/>
  <c r="AK54" i="4" s="1"/>
  <c r="AJ53" i="4"/>
  <c r="AJ54" i="4" s="1"/>
  <c r="AI53" i="4"/>
  <c r="AI54" i="4" s="1"/>
  <c r="AH53" i="4"/>
  <c r="AH54" i="4" s="1"/>
  <c r="AG53" i="4"/>
  <c r="AG54" i="4" s="1"/>
  <c r="AF53" i="4"/>
  <c r="AF54" i="4" s="1"/>
  <c r="AE53" i="4"/>
  <c r="AE54" i="4" s="1"/>
  <c r="AD53" i="4"/>
  <c r="AD54" i="4" s="1"/>
  <c r="AC53" i="4"/>
  <c r="AB53" i="4"/>
  <c r="AA53" i="4"/>
  <c r="AA54" i="4" s="1"/>
  <c r="Z53" i="4"/>
  <c r="Z54" i="4" s="1"/>
  <c r="Y53" i="4"/>
  <c r="X53" i="4"/>
  <c r="X54" i="4" s="1"/>
  <c r="W53" i="4"/>
  <c r="V53" i="4"/>
  <c r="U53" i="4"/>
  <c r="U54" i="4" s="1"/>
  <c r="T53" i="4"/>
  <c r="T54" i="4" s="1"/>
  <c r="S53" i="4"/>
  <c r="S54" i="4" s="1"/>
  <c r="R53" i="4"/>
  <c r="R54" i="4" s="1"/>
  <c r="Q53" i="4"/>
  <c r="P53" i="4"/>
  <c r="P54" i="4" s="1"/>
  <c r="O53" i="4"/>
  <c r="O54" i="4" s="1"/>
  <c r="N53" i="4"/>
  <c r="N54" i="4" s="1"/>
  <c r="M53" i="4"/>
  <c r="M54" i="4" s="1"/>
  <c r="L53" i="4"/>
  <c r="L54" i="4" s="1"/>
  <c r="K53" i="4"/>
  <c r="J53" i="4"/>
  <c r="J54" i="4" s="1"/>
  <c r="I53" i="4"/>
  <c r="I54" i="4" s="1"/>
  <c r="H53" i="4"/>
  <c r="H54" i="4" s="1"/>
  <c r="G53" i="4"/>
  <c r="G54" i="4" s="1"/>
  <c r="F54" i="4"/>
  <c r="D53" i="4"/>
  <c r="D54" i="4" s="1"/>
  <c r="CW51" i="4"/>
  <c r="CW50" i="4"/>
  <c r="CW49" i="4"/>
  <c r="CW48" i="4"/>
  <c r="CW47" i="4"/>
  <c r="CW46" i="4"/>
  <c r="CW45" i="4"/>
  <c r="CW44" i="4"/>
  <c r="D72" i="4" s="1"/>
  <c r="CW43" i="4"/>
  <c r="D84" i="4" s="1"/>
  <c r="CW42" i="4"/>
  <c r="D83" i="4" s="1"/>
  <c r="CW41" i="4"/>
  <c r="D71" i="4" s="1"/>
  <c r="CW40" i="4"/>
  <c r="D82" i="4" s="1"/>
  <c r="E53" i="4"/>
  <c r="E54" i="4" s="1"/>
  <c r="CW39" i="4"/>
  <c r="D70" i="4" s="1"/>
  <c r="CW38" i="4"/>
  <c r="D81" i="4" s="1"/>
  <c r="CW37" i="4"/>
  <c r="D69" i="4" s="1"/>
  <c r="CW36" i="4"/>
  <c r="D80" i="4" s="1"/>
  <c r="V54" i="4"/>
  <c r="CW34" i="4"/>
  <c r="D68" i="4" s="1"/>
  <c r="CW33" i="4"/>
  <c r="D79" i="4" s="1"/>
  <c r="CW32" i="4"/>
  <c r="D67" i="4" s="1"/>
  <c r="CW31" i="4"/>
  <c r="D66" i="4" s="1"/>
  <c r="CW30" i="4"/>
  <c r="D78" i="4" s="1"/>
  <c r="BU54" i="4"/>
  <c r="CW28" i="4"/>
  <c r="D77" i="4" s="1"/>
  <c r="CW27" i="4"/>
  <c r="CW26" i="4"/>
  <c r="CW25" i="4"/>
  <c r="CW24" i="4"/>
  <c r="CW23" i="4"/>
  <c r="D61" i="4" s="1"/>
  <c r="CW22" i="4"/>
  <c r="D65" i="4" s="1"/>
  <c r="CW21" i="4"/>
  <c r="CW20" i="4"/>
  <c r="CW19" i="4"/>
  <c r="CW18" i="4"/>
  <c r="CW17" i="4"/>
  <c r="D74" i="4" s="1"/>
  <c r="CW16" i="4"/>
  <c r="CW15" i="4"/>
  <c r="CW14" i="4"/>
  <c r="CW13" i="4"/>
  <c r="CW12" i="4"/>
  <c r="D64" i="4" s="1"/>
  <c r="CW11" i="4"/>
  <c r="D62" i="4" s="1"/>
  <c r="CW10" i="4"/>
  <c r="CW9" i="4"/>
  <c r="S29" i="3"/>
  <c r="K108" i="4" l="1"/>
  <c r="BJ54" i="4"/>
  <c r="L94" i="4"/>
  <c r="J110" i="4"/>
  <c r="D63" i="4"/>
  <c r="D60" i="4" s="1"/>
  <c r="I108" i="4"/>
  <c r="H109" i="4"/>
  <c r="K110" i="4"/>
  <c r="L97" i="4"/>
  <c r="H108" i="4"/>
  <c r="K109" i="4"/>
  <c r="L100" i="4"/>
  <c r="CW53" i="4"/>
  <c r="J108" i="4"/>
  <c r="D76" i="4"/>
  <c r="I109" i="4"/>
  <c r="BA54" i="4"/>
  <c r="J109" i="4"/>
  <c r="D75" i="4"/>
  <c r="Y54" i="4"/>
  <c r="CW29" i="4"/>
  <c r="CW52" i="4"/>
  <c r="Q54" i="4"/>
  <c r="L101" i="4"/>
  <c r="BC54" i="4"/>
  <c r="CA54" i="4"/>
  <c r="L96" i="4"/>
  <c r="L106" i="4"/>
  <c r="L110" i="4" s="1"/>
  <c r="AR54" i="4"/>
  <c r="BD54" i="4"/>
  <c r="L91" i="4"/>
  <c r="BE54" i="4"/>
  <c r="AT54" i="4"/>
  <c r="D73" i="4" l="1"/>
  <c r="L108" i="4"/>
  <c r="CW35" i="4"/>
  <c r="W54" i="4"/>
  <c r="L109" i="4"/>
  <c r="CW54" i="4" l="1"/>
  <c r="Q22" i="2" l="1"/>
  <c r="Q12" i="3" l="1"/>
  <c r="Q11" i="3"/>
  <c r="E40" i="3"/>
  <c r="V35" i="3"/>
  <c r="M51" i="2" l="1"/>
  <c r="L51" i="2"/>
  <c r="K51" i="2"/>
  <c r="W52" i="2" l="1"/>
  <c r="BA52" i="2"/>
  <c r="F53" i="2"/>
  <c r="I52" i="3"/>
  <c r="BP52" i="3"/>
  <c r="M11" i="3"/>
  <c r="K106" i="3" l="1"/>
  <c r="J106" i="3"/>
  <c r="I106" i="3"/>
  <c r="H106" i="3"/>
  <c r="K105" i="3"/>
  <c r="J105" i="3"/>
  <c r="I105" i="3"/>
  <c r="H105" i="3"/>
  <c r="K104" i="3"/>
  <c r="J104" i="3"/>
  <c r="I104" i="3"/>
  <c r="H104" i="3"/>
  <c r="K103" i="3"/>
  <c r="J103" i="3"/>
  <c r="I103" i="3"/>
  <c r="H103" i="3"/>
  <c r="K102" i="3"/>
  <c r="J102" i="3"/>
  <c r="I102" i="3"/>
  <c r="H102" i="3"/>
  <c r="K101" i="3"/>
  <c r="J101" i="3"/>
  <c r="I101" i="3"/>
  <c r="H101" i="3"/>
  <c r="K100" i="3"/>
  <c r="J100" i="3"/>
  <c r="I100" i="3"/>
  <c r="H100" i="3"/>
  <c r="K99" i="3"/>
  <c r="J99" i="3"/>
  <c r="I99" i="3"/>
  <c r="H99" i="3"/>
  <c r="K98" i="3"/>
  <c r="J98" i="3"/>
  <c r="I98" i="3"/>
  <c r="H98" i="3"/>
  <c r="K97" i="3"/>
  <c r="J97" i="3"/>
  <c r="I97" i="3"/>
  <c r="H97" i="3"/>
  <c r="K96" i="3"/>
  <c r="J96" i="3"/>
  <c r="I96" i="3"/>
  <c r="H96" i="3"/>
  <c r="K95" i="3"/>
  <c r="J95" i="3"/>
  <c r="I95" i="3"/>
  <c r="H95" i="3"/>
  <c r="K94" i="3"/>
  <c r="J94" i="3"/>
  <c r="I94" i="3"/>
  <c r="H94" i="3"/>
  <c r="K93" i="3"/>
  <c r="J93" i="3"/>
  <c r="I93" i="3"/>
  <c r="H93" i="3"/>
  <c r="H108" i="3" s="1"/>
  <c r="K92" i="3"/>
  <c r="J92" i="3"/>
  <c r="I92" i="3"/>
  <c r="H92" i="3"/>
  <c r="K91" i="3"/>
  <c r="J91" i="3"/>
  <c r="I91" i="3"/>
  <c r="H91" i="3"/>
  <c r="K90" i="3"/>
  <c r="J90" i="3"/>
  <c r="J108" i="3" s="1"/>
  <c r="I90" i="3"/>
  <c r="H90" i="3"/>
  <c r="C84" i="3"/>
  <c r="D83" i="3"/>
  <c r="C83" i="3"/>
  <c r="C82" i="3"/>
  <c r="CV54" i="3"/>
  <c r="CU54" i="3"/>
  <c r="CT54" i="3"/>
  <c r="CS54" i="3"/>
  <c r="BY54" i="3"/>
  <c r="BP54" i="3"/>
  <c r="BO54" i="3"/>
  <c r="BM54" i="3"/>
  <c r="AO54" i="3"/>
  <c r="AF54" i="3"/>
  <c r="AE54" i="3"/>
  <c r="AC54" i="3"/>
  <c r="CR53" i="3"/>
  <c r="CR54" i="3" s="1"/>
  <c r="CQ53" i="3"/>
  <c r="CQ54" i="3" s="1"/>
  <c r="CP53" i="3"/>
  <c r="CP54" i="3" s="1"/>
  <c r="CO53" i="3"/>
  <c r="CO54" i="3" s="1"/>
  <c r="CN53" i="3"/>
  <c r="CN54" i="3" s="1"/>
  <c r="CM53" i="3"/>
  <c r="CM54" i="3" s="1"/>
  <c r="CL53" i="3"/>
  <c r="CL54" i="3" s="1"/>
  <c r="CK53" i="3"/>
  <c r="CK54" i="3" s="1"/>
  <c r="CJ53" i="3"/>
  <c r="CJ54" i="3" s="1"/>
  <c r="CI53" i="3"/>
  <c r="CI54" i="3" s="1"/>
  <c r="CH53" i="3"/>
  <c r="CH54" i="3" s="1"/>
  <c r="CG53" i="3"/>
  <c r="CG54" i="3" s="1"/>
  <c r="CF53" i="3"/>
  <c r="CF54" i="3" s="1"/>
  <c r="CE53" i="3"/>
  <c r="CE54" i="3" s="1"/>
  <c r="CD53" i="3"/>
  <c r="CD54" i="3" s="1"/>
  <c r="CC53" i="3"/>
  <c r="CC54" i="3" s="1"/>
  <c r="CB53" i="3"/>
  <c r="CB54" i="3" s="1"/>
  <c r="CA53" i="3"/>
  <c r="BZ53" i="3"/>
  <c r="BZ54" i="3" s="1"/>
  <c r="BY53" i="3"/>
  <c r="BX53" i="3"/>
  <c r="BX54" i="3" s="1"/>
  <c r="BW53" i="3"/>
  <c r="BW54" i="3" s="1"/>
  <c r="BV53" i="3"/>
  <c r="BV54" i="3" s="1"/>
  <c r="BU53" i="3"/>
  <c r="BU54" i="3" s="1"/>
  <c r="BT53" i="3"/>
  <c r="BT54" i="3" s="1"/>
  <c r="BS53" i="3"/>
  <c r="BS54" i="3" s="1"/>
  <c r="BR53" i="3"/>
  <c r="BR54" i="3" s="1"/>
  <c r="BQ53" i="3"/>
  <c r="BQ54" i="3" s="1"/>
  <c r="BP53" i="3"/>
  <c r="BO53" i="3"/>
  <c r="BN53" i="3"/>
  <c r="BN54" i="3" s="1"/>
  <c r="BM53" i="3"/>
  <c r="BL53" i="3"/>
  <c r="BL54" i="3" s="1"/>
  <c r="BK53" i="3"/>
  <c r="BK54" i="3" s="1"/>
  <c r="BJ53" i="3"/>
  <c r="BJ54" i="3" s="1"/>
  <c r="BI53" i="3"/>
  <c r="L97" i="3" s="1"/>
  <c r="BH53" i="3"/>
  <c r="BH54" i="3" s="1"/>
  <c r="BG53" i="3"/>
  <c r="BG54" i="3" s="1"/>
  <c r="BF53" i="3"/>
  <c r="L100" i="3" s="1"/>
  <c r="BE53" i="3"/>
  <c r="L93" i="3" s="1"/>
  <c r="BD53" i="3"/>
  <c r="L104" i="3" s="1"/>
  <c r="BC53" i="3"/>
  <c r="L98" i="3" s="1"/>
  <c r="BB53" i="3"/>
  <c r="L99" i="3" s="1"/>
  <c r="BA53" i="3"/>
  <c r="L92" i="3" s="1"/>
  <c r="AZ53" i="3"/>
  <c r="AZ54" i="3" s="1"/>
  <c r="AY53" i="3"/>
  <c r="AY54" i="3" s="1"/>
  <c r="AX53" i="3"/>
  <c r="AX54" i="3" s="1"/>
  <c r="AW53" i="3"/>
  <c r="AW54" i="3" s="1"/>
  <c r="AV53" i="3"/>
  <c r="AV54" i="3" s="1"/>
  <c r="AU53" i="3"/>
  <c r="L102" i="3" s="1"/>
  <c r="AT53" i="3"/>
  <c r="L95" i="3" s="1"/>
  <c r="AS53" i="3"/>
  <c r="AS54" i="3" s="1"/>
  <c r="AR53" i="3"/>
  <c r="L90" i="3" s="1"/>
  <c r="AQ53" i="3"/>
  <c r="AQ54" i="3" s="1"/>
  <c r="AP53" i="3"/>
  <c r="AP54" i="3" s="1"/>
  <c r="AO53" i="3"/>
  <c r="AN53" i="3"/>
  <c r="AN54" i="3" s="1"/>
  <c r="AM53" i="3"/>
  <c r="AM54" i="3" s="1"/>
  <c r="AL53" i="3"/>
  <c r="AL54" i="3" s="1"/>
  <c r="AK53" i="3"/>
  <c r="AK54" i="3" s="1"/>
  <c r="AJ53" i="3"/>
  <c r="AJ54" i="3" s="1"/>
  <c r="AI53" i="3"/>
  <c r="AI54" i="3" s="1"/>
  <c r="AH53" i="3"/>
  <c r="AH54" i="3" s="1"/>
  <c r="AG53" i="3"/>
  <c r="AG54" i="3" s="1"/>
  <c r="AF53" i="3"/>
  <c r="AE53" i="3"/>
  <c r="AD53" i="3"/>
  <c r="AD54" i="3" s="1"/>
  <c r="AC53" i="3"/>
  <c r="AB53" i="3"/>
  <c r="AB54" i="3" s="1"/>
  <c r="AA53" i="3"/>
  <c r="AA54" i="3" s="1"/>
  <c r="Z53" i="3"/>
  <c r="Z54" i="3" s="1"/>
  <c r="Y53" i="3"/>
  <c r="Y54" i="3" s="1"/>
  <c r="X53" i="3"/>
  <c r="X54" i="3" s="1"/>
  <c r="W53" i="3"/>
  <c r="V53" i="3"/>
  <c r="V54" i="3" s="1"/>
  <c r="U53" i="3"/>
  <c r="U54" i="3" s="1"/>
  <c r="T53" i="3"/>
  <c r="T54" i="3" s="1"/>
  <c r="S53" i="3"/>
  <c r="S54" i="3" s="1"/>
  <c r="R53" i="3"/>
  <c r="R54" i="3" s="1"/>
  <c r="Q53" i="3"/>
  <c r="Q54" i="3" s="1"/>
  <c r="P53" i="3"/>
  <c r="O53" i="3"/>
  <c r="O54" i="3" s="1"/>
  <c r="N53" i="3"/>
  <c r="N54" i="3" s="1"/>
  <c r="M53" i="3"/>
  <c r="M54" i="3" s="1"/>
  <c r="K53" i="3"/>
  <c r="K54" i="3" s="1"/>
  <c r="J53" i="3"/>
  <c r="J54" i="3" s="1"/>
  <c r="I53" i="3"/>
  <c r="I54" i="3" s="1"/>
  <c r="H53" i="3"/>
  <c r="H54" i="3" s="1"/>
  <c r="G53" i="3"/>
  <c r="G54" i="3" s="1"/>
  <c r="F54" i="3"/>
  <c r="E53" i="3"/>
  <c r="E54" i="3" s="1"/>
  <c r="D53" i="3"/>
  <c r="CW52" i="3"/>
  <c r="CW51" i="3"/>
  <c r="L53" i="3"/>
  <c r="L54" i="3" s="1"/>
  <c r="CW50" i="3"/>
  <c r="CW49" i="3"/>
  <c r="CW48" i="3"/>
  <c r="CW47" i="3"/>
  <c r="CW46" i="3"/>
  <c r="CW45" i="3"/>
  <c r="CW44" i="3"/>
  <c r="D72" i="3" s="1"/>
  <c r="CW43" i="3"/>
  <c r="D84" i="3" s="1"/>
  <c r="CW42" i="3"/>
  <c r="CW41" i="3"/>
  <c r="D71" i="3" s="1"/>
  <c r="CW40" i="3"/>
  <c r="D82" i="3" s="1"/>
  <c r="CW39" i="3"/>
  <c r="D70" i="3" s="1"/>
  <c r="CW38" i="3"/>
  <c r="D81" i="3" s="1"/>
  <c r="CW37" i="3"/>
  <c r="D69" i="3" s="1"/>
  <c r="CW36" i="3"/>
  <c r="D80" i="3" s="1"/>
  <c r="W54" i="3"/>
  <c r="CW34" i="3"/>
  <c r="D68" i="3" s="1"/>
  <c r="CW33" i="3"/>
  <c r="D79" i="3" s="1"/>
  <c r="CW32" i="3"/>
  <c r="D67" i="3" s="1"/>
  <c r="CW31" i="3"/>
  <c r="D66" i="3" s="1"/>
  <c r="CW30" i="3"/>
  <c r="D78" i="3" s="1"/>
  <c r="CW29" i="3"/>
  <c r="CW28" i="3"/>
  <c r="CW27" i="3"/>
  <c r="CW26" i="3"/>
  <c r="CW25" i="3"/>
  <c r="CW24" i="3"/>
  <c r="CW23" i="3"/>
  <c r="CW22" i="3"/>
  <c r="D65" i="3" s="1"/>
  <c r="P54" i="3"/>
  <c r="CW21" i="3"/>
  <c r="CW20" i="3"/>
  <c r="CW19" i="3"/>
  <c r="CW18" i="3"/>
  <c r="CW17" i="3"/>
  <c r="D74" i="3" s="1"/>
  <c r="CW16" i="3"/>
  <c r="CW15" i="3"/>
  <c r="CW14" i="3"/>
  <c r="CW13" i="3"/>
  <c r="CW12" i="3"/>
  <c r="CW11" i="3"/>
  <c r="CW10" i="3"/>
  <c r="CW9" i="3"/>
  <c r="K108" i="3" l="1"/>
  <c r="D75" i="3"/>
  <c r="D63" i="3"/>
  <c r="I108" i="3"/>
  <c r="D76" i="3"/>
  <c r="D77" i="3"/>
  <c r="D61" i="3"/>
  <c r="CA54" i="3"/>
  <c r="J109" i="3"/>
  <c r="I110" i="3"/>
  <c r="H110" i="3"/>
  <c r="AR54" i="3"/>
  <c r="K109" i="3"/>
  <c r="J110" i="3"/>
  <c r="CW53" i="3"/>
  <c r="BA54" i="3"/>
  <c r="K110" i="3"/>
  <c r="BB54" i="3"/>
  <c r="L91" i="3"/>
  <c r="BC54" i="3"/>
  <c r="D62" i="3"/>
  <c r="BD54" i="3"/>
  <c r="L94" i="3"/>
  <c r="D64" i="3"/>
  <c r="H109" i="3"/>
  <c r="I109" i="3"/>
  <c r="L108" i="3"/>
  <c r="L109" i="3"/>
  <c r="D54" i="3"/>
  <c r="L96" i="3"/>
  <c r="L103" i="3"/>
  <c r="L106" i="3"/>
  <c r="BE54" i="3"/>
  <c r="CW35" i="3"/>
  <c r="AT54" i="3"/>
  <c r="BF54" i="3"/>
  <c r="L105" i="3"/>
  <c r="L101" i="3"/>
  <c r="AU54" i="3"/>
  <c r="BI54" i="3"/>
  <c r="W35" i="2"/>
  <c r="D73" i="3" l="1"/>
  <c r="D60" i="3"/>
  <c r="L110" i="3"/>
  <c r="CW54" i="3"/>
  <c r="F27" i="2" l="1"/>
  <c r="E29" i="2"/>
  <c r="P22" i="2" l="1"/>
  <c r="M51" i="1" l="1"/>
  <c r="L51" i="1"/>
  <c r="K51" i="1"/>
  <c r="BB52" i="1" l="1"/>
  <c r="BC52" i="1"/>
  <c r="BA50" i="1"/>
  <c r="F53" i="1"/>
  <c r="BP52" i="2"/>
  <c r="BM52" i="2"/>
  <c r="I52" i="2"/>
  <c r="L11" i="2"/>
  <c r="K106" i="2" l="1"/>
  <c r="J106" i="2"/>
  <c r="I106" i="2"/>
  <c r="H106" i="2"/>
  <c r="L105" i="2"/>
  <c r="K105" i="2"/>
  <c r="J105" i="2"/>
  <c r="I105" i="2"/>
  <c r="H105" i="2"/>
  <c r="K104" i="2"/>
  <c r="J104" i="2"/>
  <c r="I104" i="2"/>
  <c r="H104" i="2"/>
  <c r="K103" i="2"/>
  <c r="J103" i="2"/>
  <c r="I103" i="2"/>
  <c r="H103" i="2"/>
  <c r="K102" i="2"/>
  <c r="J102" i="2"/>
  <c r="I102" i="2"/>
  <c r="H102" i="2"/>
  <c r="K101" i="2"/>
  <c r="J101" i="2"/>
  <c r="I101" i="2"/>
  <c r="H101" i="2"/>
  <c r="K100" i="2"/>
  <c r="J100" i="2"/>
  <c r="I100" i="2"/>
  <c r="H100" i="2"/>
  <c r="K99" i="2"/>
  <c r="J99" i="2"/>
  <c r="I99" i="2"/>
  <c r="H99" i="2"/>
  <c r="K98" i="2"/>
  <c r="J98" i="2"/>
  <c r="I98" i="2"/>
  <c r="H98" i="2"/>
  <c r="K97" i="2"/>
  <c r="J97" i="2"/>
  <c r="I97" i="2"/>
  <c r="H97" i="2"/>
  <c r="K96" i="2"/>
  <c r="J96" i="2"/>
  <c r="I96" i="2"/>
  <c r="H96" i="2"/>
  <c r="H109" i="2" s="1"/>
  <c r="K95" i="2"/>
  <c r="J95" i="2"/>
  <c r="I95" i="2"/>
  <c r="H95" i="2"/>
  <c r="K94" i="2"/>
  <c r="J94" i="2"/>
  <c r="I94" i="2"/>
  <c r="H94" i="2"/>
  <c r="K93" i="2"/>
  <c r="J93" i="2"/>
  <c r="I93" i="2"/>
  <c r="I108" i="2" s="1"/>
  <c r="H93" i="2"/>
  <c r="K92" i="2"/>
  <c r="J92" i="2"/>
  <c r="I92" i="2"/>
  <c r="H92" i="2"/>
  <c r="K91" i="2"/>
  <c r="J91" i="2"/>
  <c r="I91" i="2"/>
  <c r="H91" i="2"/>
  <c r="K90" i="2"/>
  <c r="J90" i="2"/>
  <c r="I90" i="2"/>
  <c r="H90" i="2"/>
  <c r="D84" i="2"/>
  <c r="C84" i="2"/>
  <c r="C83" i="2"/>
  <c r="C82" i="2"/>
  <c r="CV54" i="2"/>
  <c r="CU54" i="2"/>
  <c r="CT54" i="2"/>
  <c r="CS54" i="2"/>
  <c r="CC54" i="2"/>
  <c r="CA54" i="2"/>
  <c r="BK54" i="2"/>
  <c r="AS54" i="2"/>
  <c r="AQ54" i="2"/>
  <c r="AA54" i="2"/>
  <c r="G54" i="2"/>
  <c r="CR53" i="2"/>
  <c r="CR54" i="2" s="1"/>
  <c r="CQ53" i="2"/>
  <c r="CQ54" i="2" s="1"/>
  <c r="CP53" i="2"/>
  <c r="CP54" i="2" s="1"/>
  <c r="CO53" i="2"/>
  <c r="CO54" i="2" s="1"/>
  <c r="CN53" i="2"/>
  <c r="CN54" i="2" s="1"/>
  <c r="CM53" i="2"/>
  <c r="CM54" i="2" s="1"/>
  <c r="CL53" i="2"/>
  <c r="CL54" i="2" s="1"/>
  <c r="CK53" i="2"/>
  <c r="CK54" i="2" s="1"/>
  <c r="CJ53" i="2"/>
  <c r="CJ54" i="2" s="1"/>
  <c r="CI53" i="2"/>
  <c r="CI54" i="2" s="1"/>
  <c r="CH53" i="2"/>
  <c r="CH54" i="2" s="1"/>
  <c r="CG53" i="2"/>
  <c r="CG54" i="2" s="1"/>
  <c r="CF53" i="2"/>
  <c r="CF54" i="2" s="1"/>
  <c r="CE53" i="2"/>
  <c r="CE54" i="2" s="1"/>
  <c r="CD53" i="2"/>
  <c r="CD54" i="2" s="1"/>
  <c r="CC53" i="2"/>
  <c r="CB53" i="2"/>
  <c r="CB54" i="2" s="1"/>
  <c r="CA53" i="2"/>
  <c r="BZ53" i="2"/>
  <c r="BZ54" i="2" s="1"/>
  <c r="BY53" i="2"/>
  <c r="BY54" i="2" s="1"/>
  <c r="BX53" i="2"/>
  <c r="BX54" i="2" s="1"/>
  <c r="BW53" i="2"/>
  <c r="BW54" i="2" s="1"/>
  <c r="BV53" i="2"/>
  <c r="BV54" i="2" s="1"/>
  <c r="BU53" i="2"/>
  <c r="BU54" i="2" s="1"/>
  <c r="BT53" i="2"/>
  <c r="BT54" i="2" s="1"/>
  <c r="BS53" i="2"/>
  <c r="BS54" i="2" s="1"/>
  <c r="BR53" i="2"/>
  <c r="BR54" i="2" s="1"/>
  <c r="BQ53" i="2"/>
  <c r="BQ54" i="2" s="1"/>
  <c r="BP53" i="2"/>
  <c r="BP54" i="2" s="1"/>
  <c r="BO53" i="2"/>
  <c r="BO54" i="2" s="1"/>
  <c r="BN53" i="2"/>
  <c r="BN54" i="2" s="1"/>
  <c r="BM53" i="2"/>
  <c r="BL53" i="2"/>
  <c r="BL54" i="2" s="1"/>
  <c r="BK53" i="2"/>
  <c r="BJ53" i="2"/>
  <c r="BJ54" i="2" s="1"/>
  <c r="BI53" i="2"/>
  <c r="L97" i="2" s="1"/>
  <c r="BH53" i="2"/>
  <c r="L91" i="2" s="1"/>
  <c r="BG53" i="2"/>
  <c r="BG54" i="2" s="1"/>
  <c r="BF53" i="2"/>
  <c r="L100" i="2" s="1"/>
  <c r="BE53" i="2"/>
  <c r="L93" i="2" s="1"/>
  <c r="BD53" i="2"/>
  <c r="L104" i="2" s="1"/>
  <c r="BC53" i="2"/>
  <c r="L98" i="2" s="1"/>
  <c r="BB53" i="2"/>
  <c r="BB54" i="2" s="1"/>
  <c r="BA53" i="2"/>
  <c r="L92" i="2" s="1"/>
  <c r="AZ53" i="2"/>
  <c r="AZ54" i="2" s="1"/>
  <c r="AY53" i="2"/>
  <c r="L101" i="2" s="1"/>
  <c r="AX53" i="2"/>
  <c r="AX54" i="2" s="1"/>
  <c r="AW53" i="2"/>
  <c r="AW54" i="2" s="1"/>
  <c r="AV53" i="2"/>
  <c r="AV54" i="2" s="1"/>
  <c r="AU53" i="2"/>
  <c r="L102" i="2" s="1"/>
  <c r="AT53" i="2"/>
  <c r="L95" i="2" s="1"/>
  <c r="AS53" i="2"/>
  <c r="L96" i="2" s="1"/>
  <c r="AR53" i="2"/>
  <c r="L90" i="2" s="1"/>
  <c r="AQ53" i="2"/>
  <c r="AP53" i="2"/>
  <c r="AP54" i="2" s="1"/>
  <c r="AO53" i="2"/>
  <c r="AO54" i="2" s="1"/>
  <c r="AN53" i="2"/>
  <c r="AN54" i="2" s="1"/>
  <c r="AM53" i="2"/>
  <c r="AM54" i="2" s="1"/>
  <c r="AL53" i="2"/>
  <c r="AL54" i="2" s="1"/>
  <c r="AK53" i="2"/>
  <c r="AK54" i="2" s="1"/>
  <c r="AJ53" i="2"/>
  <c r="AJ54" i="2" s="1"/>
  <c r="AI53" i="2"/>
  <c r="AI54" i="2" s="1"/>
  <c r="AH53" i="2"/>
  <c r="AH54" i="2" s="1"/>
  <c r="AG53" i="2"/>
  <c r="AG54" i="2" s="1"/>
  <c r="AF53" i="2"/>
  <c r="AF54" i="2" s="1"/>
  <c r="AE53" i="2"/>
  <c r="AE54" i="2" s="1"/>
  <c r="AD53" i="2"/>
  <c r="AD54" i="2" s="1"/>
  <c r="AC53" i="2"/>
  <c r="AC54" i="2" s="1"/>
  <c r="AB53" i="2"/>
  <c r="AB54" i="2" s="1"/>
  <c r="AA53" i="2"/>
  <c r="Z53" i="2"/>
  <c r="Z54" i="2" s="1"/>
  <c r="Y53" i="2"/>
  <c r="Y54" i="2" s="1"/>
  <c r="X53" i="2"/>
  <c r="X54" i="2" s="1"/>
  <c r="W53" i="2"/>
  <c r="W54" i="2" s="1"/>
  <c r="V53" i="2"/>
  <c r="V54" i="2" s="1"/>
  <c r="U53" i="2"/>
  <c r="U54" i="2" s="1"/>
  <c r="T53" i="2"/>
  <c r="T54" i="2" s="1"/>
  <c r="S53" i="2"/>
  <c r="S54" i="2" s="1"/>
  <c r="R53" i="2"/>
  <c r="R54" i="2" s="1"/>
  <c r="Q53" i="2"/>
  <c r="Q54" i="2" s="1"/>
  <c r="P53" i="2"/>
  <c r="P54" i="2" s="1"/>
  <c r="O53" i="2"/>
  <c r="O54" i="2" s="1"/>
  <c r="N53" i="2"/>
  <c r="N54" i="2" s="1"/>
  <c r="M53" i="2"/>
  <c r="M54" i="2" s="1"/>
  <c r="K53" i="2"/>
  <c r="K54" i="2" s="1"/>
  <c r="J53" i="2"/>
  <c r="J54" i="2" s="1"/>
  <c r="I53" i="2"/>
  <c r="I54" i="2" s="1"/>
  <c r="H53" i="2"/>
  <c r="H54" i="2" s="1"/>
  <c r="G53" i="2"/>
  <c r="E53" i="2"/>
  <c r="D53" i="2"/>
  <c r="D54" i="2" s="1"/>
  <c r="CW52" i="2"/>
  <c r="CW51" i="2"/>
  <c r="CW50" i="2"/>
  <c r="CW49" i="2"/>
  <c r="CW48" i="2"/>
  <c r="CW47" i="2"/>
  <c r="CW46" i="2"/>
  <c r="CW45" i="2"/>
  <c r="CW44" i="2"/>
  <c r="D72" i="2" s="1"/>
  <c r="CW43" i="2"/>
  <c r="CW42" i="2"/>
  <c r="D83" i="2" s="1"/>
  <c r="CW41" i="2"/>
  <c r="D71" i="2" s="1"/>
  <c r="CW40" i="2"/>
  <c r="D82" i="2" s="1"/>
  <c r="CW39" i="2"/>
  <c r="D70" i="2" s="1"/>
  <c r="L53" i="2"/>
  <c r="CW37" i="2"/>
  <c r="D69" i="2" s="1"/>
  <c r="CW36" i="2"/>
  <c r="D80" i="2" s="1"/>
  <c r="CW35" i="2"/>
  <c r="CW34" i="2"/>
  <c r="D68" i="2" s="1"/>
  <c r="CW33" i="2"/>
  <c r="D79" i="2" s="1"/>
  <c r="CW32" i="2"/>
  <c r="D67" i="2" s="1"/>
  <c r="CW31" i="2"/>
  <c r="D66" i="2" s="1"/>
  <c r="CW30" i="2"/>
  <c r="D78" i="2" s="1"/>
  <c r="CW29" i="2"/>
  <c r="CW28" i="2"/>
  <c r="CW27" i="2"/>
  <c r="CW26" i="2"/>
  <c r="CW25" i="2"/>
  <c r="CW24" i="2"/>
  <c r="CW23" i="2"/>
  <c r="CW22" i="2"/>
  <c r="D65" i="2" s="1"/>
  <c r="CW21" i="2"/>
  <c r="CW20" i="2"/>
  <c r="CW19" i="2"/>
  <c r="CW18" i="2"/>
  <c r="CW17" i="2"/>
  <c r="D74" i="2" s="1"/>
  <c r="CW16" i="2"/>
  <c r="CW15" i="2"/>
  <c r="CW14" i="2"/>
  <c r="CW13" i="2"/>
  <c r="CW12" i="2"/>
  <c r="CW11" i="2"/>
  <c r="D62" i="2" s="1"/>
  <c r="CW10" i="2"/>
  <c r="CW9" i="2"/>
  <c r="K108" i="2" l="1"/>
  <c r="D77" i="2"/>
  <c r="D75" i="2"/>
  <c r="H110" i="2"/>
  <c r="K109" i="2"/>
  <c r="D61" i="2"/>
  <c r="BE54" i="2"/>
  <c r="D63" i="2"/>
  <c r="D60" i="2" s="1"/>
  <c r="D76" i="2"/>
  <c r="AY54" i="2"/>
  <c r="BC54" i="2"/>
  <c r="I110" i="2"/>
  <c r="BH54" i="2"/>
  <c r="J108" i="2"/>
  <c r="K110" i="2"/>
  <c r="H108" i="2"/>
  <c r="I109" i="2"/>
  <c r="J110" i="2"/>
  <c r="D64" i="2"/>
  <c r="J109" i="2"/>
  <c r="CW53" i="2"/>
  <c r="L99" i="2"/>
  <c r="E54" i="2"/>
  <c r="BA54" i="2"/>
  <c r="BM54" i="2"/>
  <c r="L94" i="2"/>
  <c r="L108" i="2" s="1"/>
  <c r="L106" i="2"/>
  <c r="F54" i="2"/>
  <c r="AR54" i="2"/>
  <c r="BD54" i="2"/>
  <c r="L103" i="2"/>
  <c r="AT54" i="2"/>
  <c r="BF54" i="2"/>
  <c r="AU54" i="2"/>
  <c r="CW38" i="2"/>
  <c r="D81" i="2" s="1"/>
  <c r="L54" i="2"/>
  <c r="BI54" i="2"/>
  <c r="D73" i="2" l="1"/>
  <c r="L109" i="2"/>
  <c r="CW54" i="2"/>
  <c r="L110" i="2"/>
  <c r="L53" i="1" l="1"/>
  <c r="F29" i="1"/>
  <c r="M38" i="1" l="1"/>
  <c r="L38" i="1"/>
  <c r="BP52" i="1" l="1"/>
  <c r="BM50" i="1"/>
  <c r="I52" i="1"/>
  <c r="CV5" i="1"/>
  <c r="CU5" i="1"/>
  <c r="CT5" i="1"/>
  <c r="CT8" i="1" s="1"/>
  <c r="CT55" i="1" s="1"/>
  <c r="CT5" i="2" s="1"/>
  <c r="CT8" i="2" s="1"/>
  <c r="CT55" i="2" s="1"/>
  <c r="CT5" i="3" s="1"/>
  <c r="CT8" i="3" s="1"/>
  <c r="CT55" i="3" s="1"/>
  <c r="CT5" i="4" s="1"/>
  <c r="CT8" i="4" s="1"/>
  <c r="CT55" i="4" s="1"/>
  <c r="CT5" i="5" s="1"/>
  <c r="CT8" i="5" s="1"/>
  <c r="CT55" i="5" s="1"/>
  <c r="CT5" i="6" s="1"/>
  <c r="CT8" i="6" s="1"/>
  <c r="CT55" i="6" s="1"/>
  <c r="CT5" i="7" s="1"/>
  <c r="CT8" i="7" s="1"/>
  <c r="CT55" i="7" s="1"/>
  <c r="CT5" i="8" s="1"/>
  <c r="CT8" i="8" s="1"/>
  <c r="CT55" i="8" s="1"/>
  <c r="CT5" i="9" s="1"/>
  <c r="CT8" i="9" s="1"/>
  <c r="CT55" i="9" s="1"/>
  <c r="CT5" i="10" s="1"/>
  <c r="CT8" i="10" s="1"/>
  <c r="CT55" i="10" s="1"/>
  <c r="CT5" i="11" s="1"/>
  <c r="CT8" i="11" s="1"/>
  <c r="CT55" i="11" s="1"/>
  <c r="CT5" i="12" s="1"/>
  <c r="CT8" i="12" s="1"/>
  <c r="CT55" i="12" s="1"/>
  <c r="CT5" i="13" s="1"/>
  <c r="CT8" i="13" s="1"/>
  <c r="CT55" i="13" s="1"/>
  <c r="CT5" i="14" s="1"/>
  <c r="CT8" i="14" s="1"/>
  <c r="CT55" i="14" s="1"/>
  <c r="CT5" i="15" s="1"/>
  <c r="CT8" i="15" s="1"/>
  <c r="CT55" i="15" s="1"/>
  <c r="CT5" i="16" s="1"/>
  <c r="CT8" i="16" s="1"/>
  <c r="CT55" i="16" s="1"/>
  <c r="CT5" i="17" s="1"/>
  <c r="CT8" i="17" s="1"/>
  <c r="CT55" i="17" s="1"/>
  <c r="CT5" i="18" s="1"/>
  <c r="CT8" i="18" s="1"/>
  <c r="CT55" i="18" s="1"/>
  <c r="CT5" i="19" s="1"/>
  <c r="CT8" i="19" s="1"/>
  <c r="CT55" i="19" s="1"/>
  <c r="CT5" i="20" s="1"/>
  <c r="CT8" i="20" s="1"/>
  <c r="CT55" i="20" s="1"/>
  <c r="CT5" i="21" s="1"/>
  <c r="CT8" i="21" s="1"/>
  <c r="CT55" i="21" s="1"/>
  <c r="CT5" i="22" s="1"/>
  <c r="CT8" i="22" s="1"/>
  <c r="CT55" i="22" s="1"/>
  <c r="CS5" i="1"/>
  <c r="CR5" i="1"/>
  <c r="CQ5" i="1"/>
  <c r="CQ8" i="1" s="1"/>
  <c r="CP5" i="1"/>
  <c r="CO5" i="1"/>
  <c r="CO8" i="1" s="1"/>
  <c r="CN5" i="1"/>
  <c r="CN8" i="1" s="1"/>
  <c r="CN55" i="1" s="1"/>
  <c r="CN5" i="2" s="1"/>
  <c r="CN8" i="2" s="1"/>
  <c r="CN55" i="2" s="1"/>
  <c r="CN5" i="3" s="1"/>
  <c r="CN8" i="3" s="1"/>
  <c r="CN55" i="3" s="1"/>
  <c r="CN5" i="4" s="1"/>
  <c r="CN8" i="4" s="1"/>
  <c r="CN55" i="4" s="1"/>
  <c r="CN5" i="5" s="1"/>
  <c r="CN8" i="5" s="1"/>
  <c r="CN55" i="5" s="1"/>
  <c r="CN5" i="6" s="1"/>
  <c r="CN8" i="6" s="1"/>
  <c r="CN55" i="6" s="1"/>
  <c r="CN5" i="7" s="1"/>
  <c r="CN8" i="7" s="1"/>
  <c r="CN55" i="7" s="1"/>
  <c r="CN5" i="8" s="1"/>
  <c r="CN8" i="8" s="1"/>
  <c r="CN55" i="8" s="1"/>
  <c r="CN5" i="9" s="1"/>
  <c r="CN8" i="9" s="1"/>
  <c r="CN55" i="9" s="1"/>
  <c r="CN5" i="10" s="1"/>
  <c r="CN8" i="10" s="1"/>
  <c r="CN55" i="10" s="1"/>
  <c r="CN5" i="11" s="1"/>
  <c r="CN8" i="11" s="1"/>
  <c r="CN55" i="11" s="1"/>
  <c r="CN5" i="12" s="1"/>
  <c r="CN8" i="12" s="1"/>
  <c r="CN55" i="12" s="1"/>
  <c r="CN5" i="13" s="1"/>
  <c r="CN8" i="13" s="1"/>
  <c r="CN55" i="13" s="1"/>
  <c r="CN5" i="14" s="1"/>
  <c r="CN8" i="14" s="1"/>
  <c r="CN55" i="14" s="1"/>
  <c r="CN5" i="15" s="1"/>
  <c r="CN8" i="15" s="1"/>
  <c r="CN55" i="15" s="1"/>
  <c r="CN5" i="16" s="1"/>
  <c r="CN8" i="16" s="1"/>
  <c r="CN55" i="16" s="1"/>
  <c r="CN5" i="17" s="1"/>
  <c r="CN8" i="17" s="1"/>
  <c r="CN55" i="17" s="1"/>
  <c r="CN5" i="18" s="1"/>
  <c r="CN8" i="18" s="1"/>
  <c r="CN55" i="18" s="1"/>
  <c r="CN5" i="19" s="1"/>
  <c r="CN8" i="19" s="1"/>
  <c r="CN55" i="19" s="1"/>
  <c r="CN5" i="20" s="1"/>
  <c r="CN8" i="20" s="1"/>
  <c r="CN55" i="20" s="1"/>
  <c r="CN5" i="21" s="1"/>
  <c r="CN8" i="21" s="1"/>
  <c r="CN55" i="21" s="1"/>
  <c r="CN5" i="22" s="1"/>
  <c r="CN8" i="22" s="1"/>
  <c r="CN55" i="22" s="1"/>
  <c r="CM5" i="1"/>
  <c r="CL5" i="1"/>
  <c r="CK5" i="1"/>
  <c r="CJ5" i="1"/>
  <c r="CI5" i="1"/>
  <c r="CH5" i="1"/>
  <c r="CH8" i="1" s="1"/>
  <c r="CG5" i="1"/>
  <c r="CG8" i="1" s="1"/>
  <c r="CF5" i="1"/>
  <c r="CE5" i="1"/>
  <c r="CE8" i="1" s="1"/>
  <c r="CD5" i="1"/>
  <c r="CD8" i="1" s="1"/>
  <c r="CC5" i="1"/>
  <c r="CC8" i="1" s="1"/>
  <c r="CB5" i="1"/>
  <c r="CB8" i="1" s="1"/>
  <c r="CA5" i="1"/>
  <c r="BZ5" i="1"/>
  <c r="BY5" i="1"/>
  <c r="BX5" i="1"/>
  <c r="BW5" i="1"/>
  <c r="BW8" i="1" s="1"/>
  <c r="BW55" i="1" s="1"/>
  <c r="BW5" i="2" s="1"/>
  <c r="BW8" i="2" s="1"/>
  <c r="BW55" i="2" s="1"/>
  <c r="BW5" i="3" s="1"/>
  <c r="BW8" i="3" s="1"/>
  <c r="BW55" i="3" s="1"/>
  <c r="BW5" i="4" s="1"/>
  <c r="BW8" i="4" s="1"/>
  <c r="BW55" i="4" s="1"/>
  <c r="BW5" i="5" s="1"/>
  <c r="BW8" i="5" s="1"/>
  <c r="BW55" i="5" s="1"/>
  <c r="BW5" i="6" s="1"/>
  <c r="BW8" i="6" s="1"/>
  <c r="BW55" i="6" s="1"/>
  <c r="BW5" i="7" s="1"/>
  <c r="BW8" i="7" s="1"/>
  <c r="BW55" i="7" s="1"/>
  <c r="BW5" i="8" s="1"/>
  <c r="BW8" i="8" s="1"/>
  <c r="BW55" i="8" s="1"/>
  <c r="BW5" i="9" s="1"/>
  <c r="BW8" i="9" s="1"/>
  <c r="BW55" i="9" s="1"/>
  <c r="BW5" i="10" s="1"/>
  <c r="BW8" i="10" s="1"/>
  <c r="BW55" i="10" s="1"/>
  <c r="BW5" i="11" s="1"/>
  <c r="BW8" i="11" s="1"/>
  <c r="BW55" i="11" s="1"/>
  <c r="BW5" i="12" s="1"/>
  <c r="BW8" i="12" s="1"/>
  <c r="BW55" i="12" s="1"/>
  <c r="BW5" i="13" s="1"/>
  <c r="BW8" i="13" s="1"/>
  <c r="BW55" i="13" s="1"/>
  <c r="BW5" i="14" s="1"/>
  <c r="BW8" i="14" s="1"/>
  <c r="BW55" i="14" s="1"/>
  <c r="BW5" i="15" s="1"/>
  <c r="BW8" i="15" s="1"/>
  <c r="BW55" i="15" s="1"/>
  <c r="BW5" i="16" s="1"/>
  <c r="BW8" i="16" s="1"/>
  <c r="BW55" i="16" s="1"/>
  <c r="BW5" i="17" s="1"/>
  <c r="BW8" i="17" s="1"/>
  <c r="BW55" i="17" s="1"/>
  <c r="BW5" i="18" s="1"/>
  <c r="BW8" i="18" s="1"/>
  <c r="BW55" i="18" s="1"/>
  <c r="BW5" i="19" s="1"/>
  <c r="BW8" i="19" s="1"/>
  <c r="BW55" i="19" s="1"/>
  <c r="BW5" i="20" s="1"/>
  <c r="BW8" i="20" s="1"/>
  <c r="BW55" i="20" s="1"/>
  <c r="BW5" i="21" s="1"/>
  <c r="BW8" i="21" s="1"/>
  <c r="BW55" i="21" s="1"/>
  <c r="BW5" i="22" s="1"/>
  <c r="BW8" i="22" s="1"/>
  <c r="BW55" i="22" s="1"/>
  <c r="BV5" i="1"/>
  <c r="BU5" i="1"/>
  <c r="BT5" i="1"/>
  <c r="BT8" i="1" s="1"/>
  <c r="BT55" i="1" s="1"/>
  <c r="BT5" i="2" s="1"/>
  <c r="BT8" i="2" s="1"/>
  <c r="BT55" i="2" s="1"/>
  <c r="BT5" i="3" s="1"/>
  <c r="BT8" i="3" s="1"/>
  <c r="BT55" i="3" s="1"/>
  <c r="BT5" i="4" s="1"/>
  <c r="BT8" i="4" s="1"/>
  <c r="BT55" i="4" s="1"/>
  <c r="BT5" i="5" s="1"/>
  <c r="BT8" i="5" s="1"/>
  <c r="BT55" i="5" s="1"/>
  <c r="BT5" i="6" s="1"/>
  <c r="BT8" i="6" s="1"/>
  <c r="BT55" i="6" s="1"/>
  <c r="BT5" i="7" s="1"/>
  <c r="BT8" i="7" s="1"/>
  <c r="BT55" i="7" s="1"/>
  <c r="BT5" i="8" s="1"/>
  <c r="BT8" i="8" s="1"/>
  <c r="BT55" i="8" s="1"/>
  <c r="BT5" i="9" s="1"/>
  <c r="BT8" i="9" s="1"/>
  <c r="BT55" i="9" s="1"/>
  <c r="BT5" i="10" s="1"/>
  <c r="BT8" i="10" s="1"/>
  <c r="BT55" i="10" s="1"/>
  <c r="BT5" i="11" s="1"/>
  <c r="BT8" i="11" s="1"/>
  <c r="BT55" i="11" s="1"/>
  <c r="BT5" i="12" s="1"/>
  <c r="BT8" i="12" s="1"/>
  <c r="BT55" i="12" s="1"/>
  <c r="BT5" i="13" s="1"/>
  <c r="BT8" i="13" s="1"/>
  <c r="BT55" i="13" s="1"/>
  <c r="BT5" i="14" s="1"/>
  <c r="BT8" i="14" s="1"/>
  <c r="BT55" i="14" s="1"/>
  <c r="BT5" i="15" s="1"/>
  <c r="BT8" i="15" s="1"/>
  <c r="BT55" i="15" s="1"/>
  <c r="BT5" i="16" s="1"/>
  <c r="BT8" i="16" s="1"/>
  <c r="BT55" i="16" s="1"/>
  <c r="BT5" i="17" s="1"/>
  <c r="BT8" i="17" s="1"/>
  <c r="BT55" i="17" s="1"/>
  <c r="BT5" i="18" s="1"/>
  <c r="BT8" i="18" s="1"/>
  <c r="BT55" i="18" s="1"/>
  <c r="BT5" i="19" s="1"/>
  <c r="BT8" i="19" s="1"/>
  <c r="BT55" i="19" s="1"/>
  <c r="BT5" i="20" s="1"/>
  <c r="BT8" i="20" s="1"/>
  <c r="BT55" i="20" s="1"/>
  <c r="BT5" i="21" s="1"/>
  <c r="BT8" i="21" s="1"/>
  <c r="BT55" i="21" s="1"/>
  <c r="BT5" i="22" s="1"/>
  <c r="BT8" i="22" s="1"/>
  <c r="BT55" i="22" s="1"/>
  <c r="BS5" i="1"/>
  <c r="BS8" i="1" s="1"/>
  <c r="BR5" i="1"/>
  <c r="BR8" i="1" s="1"/>
  <c r="BQ5" i="1"/>
  <c r="BQ8" i="1" s="1"/>
  <c r="BO5" i="1"/>
  <c r="BO8" i="1" s="1"/>
  <c r="BK5" i="1"/>
  <c r="BJ5" i="1"/>
  <c r="BJ8" i="1" s="1"/>
  <c r="BI5" i="1"/>
  <c r="BH5" i="1"/>
  <c r="BG5" i="1"/>
  <c r="BG8" i="1" s="1"/>
  <c r="BF5" i="1"/>
  <c r="G100" i="1" s="1"/>
  <c r="BE5" i="1"/>
  <c r="BE8" i="1" s="1"/>
  <c r="AZ5" i="1"/>
  <c r="AY5" i="1"/>
  <c r="AY8" i="1" s="1"/>
  <c r="AY55" i="1" s="1"/>
  <c r="AY5" i="2" s="1"/>
  <c r="AX5" i="1"/>
  <c r="AX8" i="1" s="1"/>
  <c r="AW5" i="1"/>
  <c r="G94" i="1" s="1"/>
  <c r="AV5" i="1"/>
  <c r="AV8" i="1" s="1"/>
  <c r="AV55" i="1" s="1"/>
  <c r="AV5" i="2" s="1"/>
  <c r="AV8" i="2" s="1"/>
  <c r="AV55" i="2" s="1"/>
  <c r="AV5" i="3" s="1"/>
  <c r="AV8" i="3" s="1"/>
  <c r="AV55" i="3" s="1"/>
  <c r="AV5" i="4" s="1"/>
  <c r="AV8" i="4" s="1"/>
  <c r="AV55" i="4" s="1"/>
  <c r="AV5" i="5" s="1"/>
  <c r="AV8" i="5" s="1"/>
  <c r="AV55" i="5" s="1"/>
  <c r="AV5" i="6" s="1"/>
  <c r="AV8" i="6" s="1"/>
  <c r="AV55" i="6" s="1"/>
  <c r="AV5" i="7" s="1"/>
  <c r="AV8" i="7" s="1"/>
  <c r="AV55" i="7" s="1"/>
  <c r="AV5" i="8" s="1"/>
  <c r="AV8" i="8" s="1"/>
  <c r="AV55" i="8" s="1"/>
  <c r="AV5" i="9" s="1"/>
  <c r="AV8" i="9" s="1"/>
  <c r="AV55" i="9" s="1"/>
  <c r="AV5" i="10" s="1"/>
  <c r="AV8" i="10" s="1"/>
  <c r="AV55" i="10" s="1"/>
  <c r="AV5" i="11" s="1"/>
  <c r="AV8" i="11" s="1"/>
  <c r="AV55" i="11" s="1"/>
  <c r="AV5" i="12" s="1"/>
  <c r="AV8" i="12" s="1"/>
  <c r="AV55" i="12" s="1"/>
  <c r="AV5" i="13" s="1"/>
  <c r="AV8" i="13" s="1"/>
  <c r="AV55" i="13" s="1"/>
  <c r="AV5" i="14" s="1"/>
  <c r="AV8" i="14" s="1"/>
  <c r="AV55" i="14" s="1"/>
  <c r="AV5" i="15" s="1"/>
  <c r="AV8" i="15" s="1"/>
  <c r="AV55" i="15" s="1"/>
  <c r="AV5" i="16" s="1"/>
  <c r="AV8" i="16" s="1"/>
  <c r="AV55" i="16" s="1"/>
  <c r="AV5" i="17" s="1"/>
  <c r="AV8" i="17" s="1"/>
  <c r="AV55" i="17" s="1"/>
  <c r="AV5" i="18" s="1"/>
  <c r="AV8" i="18" s="1"/>
  <c r="AV55" i="18" s="1"/>
  <c r="AV5" i="19" s="1"/>
  <c r="AV8" i="19" s="1"/>
  <c r="AV55" i="19" s="1"/>
  <c r="AV5" i="20" s="1"/>
  <c r="AV8" i="20" s="1"/>
  <c r="AV55" i="20" s="1"/>
  <c r="AV5" i="21" s="1"/>
  <c r="AV8" i="21" s="1"/>
  <c r="AV55" i="21" s="1"/>
  <c r="AV5" i="22" s="1"/>
  <c r="AV8" i="22" s="1"/>
  <c r="AV55" i="22" s="1"/>
  <c r="AU5" i="1"/>
  <c r="AT5" i="1"/>
  <c r="AS5" i="1"/>
  <c r="AR5" i="1"/>
  <c r="AQ5" i="1"/>
  <c r="AP5" i="1"/>
  <c r="AO5" i="1"/>
  <c r="AO8" i="1" s="1"/>
  <c r="AN5" i="1"/>
  <c r="AN8" i="1" s="1"/>
  <c r="AM5" i="1"/>
  <c r="AM8" i="1" s="1"/>
  <c r="AM55" i="1" s="1"/>
  <c r="AM5" i="2" s="1"/>
  <c r="AM8" i="2" s="1"/>
  <c r="AM55" i="2" s="1"/>
  <c r="AM5" i="3" s="1"/>
  <c r="AM8" i="3" s="1"/>
  <c r="AM55" i="3" s="1"/>
  <c r="AM5" i="4" s="1"/>
  <c r="AM8" i="4" s="1"/>
  <c r="AM55" i="4" s="1"/>
  <c r="AM5" i="5" s="1"/>
  <c r="AM8" i="5" s="1"/>
  <c r="AM55" i="5" s="1"/>
  <c r="AM5" i="6" s="1"/>
  <c r="AM8" i="6" s="1"/>
  <c r="AM55" i="6" s="1"/>
  <c r="AM5" i="7" s="1"/>
  <c r="AM8" i="7" s="1"/>
  <c r="AM55" i="7" s="1"/>
  <c r="AM5" i="8" s="1"/>
  <c r="AM8" i="8" s="1"/>
  <c r="AM55" i="8" s="1"/>
  <c r="AM5" i="9" s="1"/>
  <c r="AM8" i="9" s="1"/>
  <c r="AM55" i="9" s="1"/>
  <c r="AM5" i="10" s="1"/>
  <c r="AM8" i="10" s="1"/>
  <c r="AM55" i="10" s="1"/>
  <c r="AM5" i="11" s="1"/>
  <c r="AM8" i="11" s="1"/>
  <c r="AM55" i="11" s="1"/>
  <c r="AM5" i="12" s="1"/>
  <c r="AM8" i="12" s="1"/>
  <c r="AM55" i="12" s="1"/>
  <c r="AM5" i="13" s="1"/>
  <c r="AM8" i="13" s="1"/>
  <c r="AM55" i="13" s="1"/>
  <c r="AM5" i="14" s="1"/>
  <c r="AM8" i="14" s="1"/>
  <c r="AM55" i="14" s="1"/>
  <c r="AM5" i="15" s="1"/>
  <c r="AM8" i="15" s="1"/>
  <c r="AM55" i="15" s="1"/>
  <c r="AM5" i="16" s="1"/>
  <c r="AM8" i="16" s="1"/>
  <c r="AM55" i="16" s="1"/>
  <c r="AM5" i="17" s="1"/>
  <c r="AM8" i="17" s="1"/>
  <c r="AM55" i="17" s="1"/>
  <c r="AM5" i="18" s="1"/>
  <c r="AM8" i="18" s="1"/>
  <c r="AM55" i="18" s="1"/>
  <c r="AM5" i="19" s="1"/>
  <c r="AM8" i="19" s="1"/>
  <c r="AM55" i="19" s="1"/>
  <c r="AM5" i="20" s="1"/>
  <c r="AM8" i="20" s="1"/>
  <c r="AM55" i="20" s="1"/>
  <c r="AM5" i="21" s="1"/>
  <c r="AM8" i="21" s="1"/>
  <c r="AM55" i="21" s="1"/>
  <c r="AM5" i="22" s="1"/>
  <c r="AM8" i="22" s="1"/>
  <c r="AM55" i="22" s="1"/>
  <c r="AL5" i="1"/>
  <c r="AJ5" i="1"/>
  <c r="AJ8" i="1" s="1"/>
  <c r="AJ55" i="1" s="1"/>
  <c r="AH5" i="1"/>
  <c r="AI8" i="1" s="1"/>
  <c r="AF5" i="1"/>
  <c r="AF8" i="1" s="1"/>
  <c r="AD5" i="1"/>
  <c r="AE5" i="1" s="1"/>
  <c r="AE8" i="1" s="1"/>
  <c r="AB5" i="1"/>
  <c r="AC5" i="1" s="1"/>
  <c r="AC8" i="1" s="1"/>
  <c r="Z5" i="1"/>
  <c r="Z8" i="1" s="1"/>
  <c r="X5" i="1"/>
  <c r="Y5" i="1" s="1"/>
  <c r="Y8" i="1" s="1"/>
  <c r="V5" i="1"/>
  <c r="W5" i="1" s="1"/>
  <c r="W8" i="1" s="1"/>
  <c r="T5" i="1"/>
  <c r="T8" i="1" s="1"/>
  <c r="R5" i="1"/>
  <c r="S5" i="1" s="1"/>
  <c r="S8" i="1" s="1"/>
  <c r="P5" i="1"/>
  <c r="Q5" i="1" s="1"/>
  <c r="Q8" i="1" s="1"/>
  <c r="N5" i="1"/>
  <c r="N8" i="1" s="1"/>
  <c r="M5" i="1"/>
  <c r="M8" i="1" s="1"/>
  <c r="L5" i="1"/>
  <c r="L8" i="1" s="1"/>
  <c r="K5" i="1"/>
  <c r="J5" i="1"/>
  <c r="H5" i="1"/>
  <c r="G5" i="1"/>
  <c r="M11" i="1"/>
  <c r="I109" i="1"/>
  <c r="K106" i="1"/>
  <c r="J106" i="1"/>
  <c r="I106" i="1"/>
  <c r="H106" i="1"/>
  <c r="K105" i="1"/>
  <c r="J105" i="1"/>
  <c r="I105" i="1"/>
  <c r="H105" i="1"/>
  <c r="K104" i="1"/>
  <c r="J104" i="1"/>
  <c r="I104" i="1"/>
  <c r="H104" i="1"/>
  <c r="K103" i="1"/>
  <c r="J103" i="1"/>
  <c r="I103" i="1"/>
  <c r="H103" i="1"/>
  <c r="K102" i="1"/>
  <c r="J102" i="1"/>
  <c r="I102" i="1"/>
  <c r="H102" i="1"/>
  <c r="H110" i="1" s="1"/>
  <c r="K101" i="1"/>
  <c r="J101" i="1"/>
  <c r="I101" i="1"/>
  <c r="H101" i="1"/>
  <c r="K100" i="1"/>
  <c r="J100" i="1"/>
  <c r="I100" i="1"/>
  <c r="H100" i="1"/>
  <c r="K99" i="1"/>
  <c r="J99" i="1"/>
  <c r="I99" i="1"/>
  <c r="H99" i="1"/>
  <c r="K98" i="1"/>
  <c r="J98" i="1"/>
  <c r="I98" i="1"/>
  <c r="H98" i="1"/>
  <c r="K97" i="1"/>
  <c r="J97" i="1"/>
  <c r="I97" i="1"/>
  <c r="H97" i="1"/>
  <c r="K96" i="1"/>
  <c r="J96" i="1"/>
  <c r="I96" i="1"/>
  <c r="H96" i="1"/>
  <c r="K95" i="1"/>
  <c r="J95" i="1"/>
  <c r="I95" i="1"/>
  <c r="H95" i="1"/>
  <c r="G95" i="1"/>
  <c r="K94" i="1"/>
  <c r="J94" i="1"/>
  <c r="I94" i="1"/>
  <c r="H94" i="1"/>
  <c r="K93" i="1"/>
  <c r="J93" i="1"/>
  <c r="I93" i="1"/>
  <c r="H93" i="1"/>
  <c r="K92" i="1"/>
  <c r="J92" i="1"/>
  <c r="I92" i="1"/>
  <c r="H92" i="1"/>
  <c r="L91" i="1"/>
  <c r="K91" i="1"/>
  <c r="J91" i="1"/>
  <c r="I91" i="1"/>
  <c r="H91" i="1"/>
  <c r="K90" i="1"/>
  <c r="J90" i="1"/>
  <c r="I90" i="1"/>
  <c r="H90" i="1"/>
  <c r="C84" i="1"/>
  <c r="C83" i="1"/>
  <c r="C82" i="1"/>
  <c r="D64" i="1"/>
  <c r="CV54" i="1"/>
  <c r="CU54" i="1"/>
  <c r="CT54" i="1"/>
  <c r="CS54" i="1"/>
  <c r="CP54" i="1"/>
  <c r="CN54" i="1"/>
  <c r="CM54" i="1"/>
  <c r="BQ54" i="1"/>
  <c r="BO54" i="1"/>
  <c r="AT54" i="1"/>
  <c r="AS54" i="1"/>
  <c r="AE54" i="1"/>
  <c r="AB54" i="1"/>
  <c r="H54" i="1"/>
  <c r="D54" i="1"/>
  <c r="CR53" i="1"/>
  <c r="CR54" i="1" s="1"/>
  <c r="CQ53" i="1"/>
  <c r="CQ54" i="1" s="1"/>
  <c r="CP53" i="1"/>
  <c r="CO53" i="1"/>
  <c r="CO54" i="1" s="1"/>
  <c r="CN53" i="1"/>
  <c r="CM53" i="1"/>
  <c r="CL53" i="1"/>
  <c r="CL54" i="1" s="1"/>
  <c r="CK53" i="1"/>
  <c r="CK54" i="1" s="1"/>
  <c r="CJ53" i="1"/>
  <c r="CJ54" i="1" s="1"/>
  <c r="CI53" i="1"/>
  <c r="CI54" i="1" s="1"/>
  <c r="CH53" i="1"/>
  <c r="CH54" i="1" s="1"/>
  <c r="CG53" i="1"/>
  <c r="CG54" i="1" s="1"/>
  <c r="CF53" i="1"/>
  <c r="CF54" i="1" s="1"/>
  <c r="CE53" i="1"/>
  <c r="CE54" i="1" s="1"/>
  <c r="CD53" i="1"/>
  <c r="CD54" i="1" s="1"/>
  <c r="CC53" i="1"/>
  <c r="CC54" i="1" s="1"/>
  <c r="CB53" i="1"/>
  <c r="CB54" i="1" s="1"/>
  <c r="CA53" i="1"/>
  <c r="BZ53" i="1"/>
  <c r="BZ54" i="1" s="1"/>
  <c r="BY53" i="1"/>
  <c r="BY54" i="1" s="1"/>
  <c r="BX53" i="1"/>
  <c r="BX54" i="1" s="1"/>
  <c r="BW53" i="1"/>
  <c r="BW54" i="1" s="1"/>
  <c r="BV53" i="1"/>
  <c r="BV54" i="1" s="1"/>
  <c r="BU53" i="1"/>
  <c r="BU54" i="1" s="1"/>
  <c r="BT53" i="1"/>
  <c r="BT54" i="1" s="1"/>
  <c r="BS53" i="1"/>
  <c r="BS54" i="1" s="1"/>
  <c r="BR53" i="1"/>
  <c r="BR54" i="1" s="1"/>
  <c r="BQ53" i="1"/>
  <c r="BP53" i="1"/>
  <c r="BO53" i="1"/>
  <c r="BN53" i="1"/>
  <c r="BN54" i="1" s="1"/>
  <c r="BM53" i="1"/>
  <c r="BM54" i="1" s="1"/>
  <c r="BL53" i="1"/>
  <c r="BL54" i="1" s="1"/>
  <c r="BK53" i="1"/>
  <c r="BK54" i="1" s="1"/>
  <c r="BJ53" i="1"/>
  <c r="BJ54" i="1" s="1"/>
  <c r="BI53" i="1"/>
  <c r="L97" i="1" s="1"/>
  <c r="BH53" i="1"/>
  <c r="BH54" i="1" s="1"/>
  <c r="BG53" i="1"/>
  <c r="BG54" i="1" s="1"/>
  <c r="BF53" i="1"/>
  <c r="L100" i="1" s="1"/>
  <c r="BE53" i="1"/>
  <c r="L93" i="1" s="1"/>
  <c r="BD53" i="1"/>
  <c r="L104" i="1" s="1"/>
  <c r="BC53" i="1"/>
  <c r="L98" i="1" s="1"/>
  <c r="BB53" i="1"/>
  <c r="L99" i="1" s="1"/>
  <c r="BA53" i="1"/>
  <c r="L92" i="1" s="1"/>
  <c r="AZ53" i="1"/>
  <c r="AZ54" i="1" s="1"/>
  <c r="AY53" i="1"/>
  <c r="AY54" i="1" s="1"/>
  <c r="AX53" i="1"/>
  <c r="AX54" i="1" s="1"/>
  <c r="AW53" i="1"/>
  <c r="L94" i="1" s="1"/>
  <c r="AV53" i="1"/>
  <c r="AV54" i="1" s="1"/>
  <c r="AU53" i="1"/>
  <c r="L102" i="1" s="1"/>
  <c r="AT53" i="1"/>
  <c r="L95" i="1" s="1"/>
  <c r="AS53" i="1"/>
  <c r="L96" i="1" s="1"/>
  <c r="AR53" i="1"/>
  <c r="L90" i="1" s="1"/>
  <c r="AQ53" i="1"/>
  <c r="AQ54" i="1" s="1"/>
  <c r="AP53" i="1"/>
  <c r="AP54" i="1" s="1"/>
  <c r="AO53" i="1"/>
  <c r="AO54" i="1" s="1"/>
  <c r="AN53" i="1"/>
  <c r="AN54" i="1" s="1"/>
  <c r="AM53" i="1"/>
  <c r="AM54" i="1" s="1"/>
  <c r="AL53" i="1"/>
  <c r="AL54" i="1" s="1"/>
  <c r="AK53" i="1"/>
  <c r="AK54" i="1" s="1"/>
  <c r="AJ53" i="1"/>
  <c r="AJ54" i="1" s="1"/>
  <c r="AI53" i="1"/>
  <c r="AI54" i="1" s="1"/>
  <c r="AH53" i="1"/>
  <c r="AH54" i="1" s="1"/>
  <c r="AG53" i="1"/>
  <c r="AG54" i="1" s="1"/>
  <c r="AF53" i="1"/>
  <c r="AF54" i="1" s="1"/>
  <c r="AE53" i="1"/>
  <c r="AD53" i="1"/>
  <c r="AD54" i="1" s="1"/>
  <c r="AC53" i="1"/>
  <c r="AC54" i="1" s="1"/>
  <c r="AB53" i="1"/>
  <c r="AA53" i="1"/>
  <c r="AA54" i="1" s="1"/>
  <c r="Z53" i="1"/>
  <c r="Z54" i="1" s="1"/>
  <c r="Y53" i="1"/>
  <c r="Y54" i="1" s="1"/>
  <c r="X53" i="1"/>
  <c r="X54" i="1" s="1"/>
  <c r="W53" i="1"/>
  <c r="V53" i="1"/>
  <c r="U53" i="1"/>
  <c r="U54" i="1" s="1"/>
  <c r="T53" i="1"/>
  <c r="T54" i="1" s="1"/>
  <c r="S53" i="1"/>
  <c r="S54" i="1" s="1"/>
  <c r="R53" i="1"/>
  <c r="R54" i="1" s="1"/>
  <c r="Q53" i="1"/>
  <c r="P53" i="1"/>
  <c r="P54" i="1" s="1"/>
  <c r="O53" i="1"/>
  <c r="O54" i="1" s="1"/>
  <c r="N53" i="1"/>
  <c r="N54" i="1" s="1"/>
  <c r="M53" i="1"/>
  <c r="M54" i="1" s="1"/>
  <c r="L54" i="1"/>
  <c r="K53" i="1"/>
  <c r="K54" i="1" s="1"/>
  <c r="J53" i="1"/>
  <c r="J54" i="1" s="1"/>
  <c r="I53" i="1"/>
  <c r="H53" i="1"/>
  <c r="G53" i="1"/>
  <c r="G54" i="1" s="1"/>
  <c r="F54" i="1"/>
  <c r="E53" i="1"/>
  <c r="E54" i="1" s="1"/>
  <c r="D53" i="1"/>
  <c r="BP54" i="1"/>
  <c r="CW51" i="1"/>
  <c r="CW50" i="1"/>
  <c r="CW49" i="1"/>
  <c r="CW48" i="1"/>
  <c r="CW47" i="1"/>
  <c r="CW46" i="1"/>
  <c r="CW45" i="1"/>
  <c r="CW44" i="1"/>
  <c r="D72" i="1" s="1"/>
  <c r="CW43" i="1"/>
  <c r="D84" i="1" s="1"/>
  <c r="CW42" i="1"/>
  <c r="D83" i="1" s="1"/>
  <c r="CW41" i="1"/>
  <c r="D71" i="1" s="1"/>
  <c r="CW40" i="1"/>
  <c r="D82" i="1" s="1"/>
  <c r="CW39" i="1"/>
  <c r="D70" i="1" s="1"/>
  <c r="CW38" i="1"/>
  <c r="D81" i="1" s="1"/>
  <c r="CW37" i="1"/>
  <c r="D69" i="1" s="1"/>
  <c r="CW36" i="1"/>
  <c r="D80" i="1" s="1"/>
  <c r="CW35" i="1"/>
  <c r="CW34" i="1"/>
  <c r="D68" i="1" s="1"/>
  <c r="CW33" i="1"/>
  <c r="D79" i="1" s="1"/>
  <c r="CW32" i="1"/>
  <c r="D67" i="1" s="1"/>
  <c r="CW31" i="1"/>
  <c r="D66" i="1" s="1"/>
  <c r="CW30" i="1"/>
  <c r="D78" i="1" s="1"/>
  <c r="V54" i="1"/>
  <c r="Q54" i="1"/>
  <c r="CW28" i="1"/>
  <c r="D77" i="1" s="1"/>
  <c r="CW27" i="1"/>
  <c r="D63" i="1" s="1"/>
  <c r="CW26" i="1"/>
  <c r="CW25" i="1"/>
  <c r="CW24" i="1"/>
  <c r="CW23" i="1"/>
  <c r="CW22" i="1"/>
  <c r="D65" i="1" s="1"/>
  <c r="CW21" i="1"/>
  <c r="CW20" i="1"/>
  <c r="CW19" i="1"/>
  <c r="CW18" i="1"/>
  <c r="CW17" i="1"/>
  <c r="D74" i="1" s="1"/>
  <c r="CW16" i="1"/>
  <c r="CW15" i="1"/>
  <c r="CW14" i="1"/>
  <c r="CW13" i="1"/>
  <c r="CW12" i="1"/>
  <c r="CW11" i="1"/>
  <c r="D62" i="1" s="1"/>
  <c r="CW10" i="1"/>
  <c r="CW9" i="1"/>
  <c r="CV8" i="1"/>
  <c r="CU8" i="1"/>
  <c r="CU55" i="1" s="1"/>
  <c r="CU5" i="2" s="1"/>
  <c r="CU8" i="2" s="1"/>
  <c r="CU55" i="2" s="1"/>
  <c r="CU5" i="3" s="1"/>
  <c r="CU8" i="3" s="1"/>
  <c r="CU55" i="3" s="1"/>
  <c r="CU5" i="4" s="1"/>
  <c r="CU8" i="4" s="1"/>
  <c r="CU55" i="4" s="1"/>
  <c r="CU5" i="5" s="1"/>
  <c r="CU8" i="5" s="1"/>
  <c r="CU55" i="5" s="1"/>
  <c r="CU5" i="6" s="1"/>
  <c r="CU8" i="6" s="1"/>
  <c r="CU55" i="6" s="1"/>
  <c r="CU5" i="7" s="1"/>
  <c r="CU8" i="7" s="1"/>
  <c r="CU55" i="7" s="1"/>
  <c r="CU5" i="8" s="1"/>
  <c r="CU8" i="8" s="1"/>
  <c r="CU55" i="8" s="1"/>
  <c r="CU5" i="9" s="1"/>
  <c r="CU8" i="9" s="1"/>
  <c r="CU55" i="9" s="1"/>
  <c r="CU5" i="10" s="1"/>
  <c r="CU8" i="10" s="1"/>
  <c r="CU55" i="10" s="1"/>
  <c r="CU5" i="11" s="1"/>
  <c r="CU8" i="11" s="1"/>
  <c r="CU55" i="11" s="1"/>
  <c r="CU5" i="12" s="1"/>
  <c r="CU8" i="12" s="1"/>
  <c r="CU55" i="12" s="1"/>
  <c r="CU5" i="13" s="1"/>
  <c r="CU8" i="13" s="1"/>
  <c r="CU55" i="13" s="1"/>
  <c r="CU5" i="14" s="1"/>
  <c r="CU8" i="14" s="1"/>
  <c r="CU55" i="14" s="1"/>
  <c r="CU5" i="15" s="1"/>
  <c r="CU8" i="15" s="1"/>
  <c r="CU55" i="15" s="1"/>
  <c r="CU5" i="16" s="1"/>
  <c r="CU8" i="16" s="1"/>
  <c r="CU55" i="16" s="1"/>
  <c r="CU5" i="17" s="1"/>
  <c r="CU8" i="17" s="1"/>
  <c r="CU55" i="17" s="1"/>
  <c r="CU5" i="18" s="1"/>
  <c r="CU8" i="18" s="1"/>
  <c r="CU55" i="18" s="1"/>
  <c r="CU5" i="19" s="1"/>
  <c r="CU8" i="19" s="1"/>
  <c r="CU55" i="19" s="1"/>
  <c r="CU5" i="20" s="1"/>
  <c r="CU8" i="20" s="1"/>
  <c r="CU55" i="20" s="1"/>
  <c r="CU5" i="21" s="1"/>
  <c r="CU8" i="21" s="1"/>
  <c r="CU55" i="21" s="1"/>
  <c r="CU5" i="22" s="1"/>
  <c r="CU8" i="22" s="1"/>
  <c r="CU55" i="22" s="1"/>
  <c r="CS8" i="1"/>
  <c r="CS55" i="1" s="1"/>
  <c r="CS5" i="2" s="1"/>
  <c r="CS8" i="2" s="1"/>
  <c r="CS55" i="2" s="1"/>
  <c r="CS5" i="3" s="1"/>
  <c r="CS8" i="3" s="1"/>
  <c r="CS55" i="3" s="1"/>
  <c r="CS5" i="4" s="1"/>
  <c r="CS8" i="4" s="1"/>
  <c r="CS55" i="4" s="1"/>
  <c r="CS5" i="5" s="1"/>
  <c r="CS8" i="5" s="1"/>
  <c r="CS55" i="5" s="1"/>
  <c r="CS5" i="6" s="1"/>
  <c r="CS8" i="6" s="1"/>
  <c r="CS55" i="6" s="1"/>
  <c r="CS5" i="7" s="1"/>
  <c r="CS8" i="7" s="1"/>
  <c r="CS55" i="7" s="1"/>
  <c r="CS5" i="8" s="1"/>
  <c r="CS8" i="8" s="1"/>
  <c r="CS55" i="8" s="1"/>
  <c r="CS5" i="9" s="1"/>
  <c r="CS8" i="9" s="1"/>
  <c r="CS55" i="9" s="1"/>
  <c r="CS5" i="10" s="1"/>
  <c r="CS8" i="10" s="1"/>
  <c r="CS55" i="10" s="1"/>
  <c r="CS5" i="11" s="1"/>
  <c r="CS8" i="11" s="1"/>
  <c r="CS55" i="11" s="1"/>
  <c r="CS5" i="12" s="1"/>
  <c r="CS8" i="12" s="1"/>
  <c r="CS55" i="12" s="1"/>
  <c r="CS5" i="13" s="1"/>
  <c r="CS8" i="13" s="1"/>
  <c r="CS55" i="13" s="1"/>
  <c r="CS5" i="14" s="1"/>
  <c r="CS8" i="14" s="1"/>
  <c r="CS55" i="14" s="1"/>
  <c r="CS5" i="15" s="1"/>
  <c r="CS8" i="15" s="1"/>
  <c r="CS55" i="15" s="1"/>
  <c r="CS5" i="16" s="1"/>
  <c r="CS8" i="16" s="1"/>
  <c r="CS55" i="16" s="1"/>
  <c r="CS5" i="17" s="1"/>
  <c r="CS8" i="17" s="1"/>
  <c r="CS55" i="17" s="1"/>
  <c r="CS5" i="18" s="1"/>
  <c r="CS8" i="18" s="1"/>
  <c r="CS55" i="18" s="1"/>
  <c r="CS5" i="19" s="1"/>
  <c r="CS8" i="19" s="1"/>
  <c r="CS55" i="19" s="1"/>
  <c r="CS5" i="20" s="1"/>
  <c r="CS8" i="20" s="1"/>
  <c r="CS55" i="20" s="1"/>
  <c r="CS5" i="21" s="1"/>
  <c r="CS8" i="21" s="1"/>
  <c r="CS55" i="21" s="1"/>
  <c r="CS5" i="22" s="1"/>
  <c r="CS8" i="22" s="1"/>
  <c r="CS55" i="22" s="1"/>
  <c r="CK8" i="1"/>
  <c r="CJ8" i="1"/>
  <c r="CI8" i="1"/>
  <c r="CI55" i="1" s="1"/>
  <c r="CI5" i="2" s="1"/>
  <c r="CI8" i="2" s="1"/>
  <c r="CI55" i="2" s="1"/>
  <c r="CI5" i="3" s="1"/>
  <c r="CI8" i="3" s="1"/>
  <c r="CI55" i="3" s="1"/>
  <c r="CI5" i="4" s="1"/>
  <c r="CI8" i="4" s="1"/>
  <c r="CI55" i="4" s="1"/>
  <c r="CI5" i="5" s="1"/>
  <c r="CI8" i="5" s="1"/>
  <c r="CI55" i="5" s="1"/>
  <c r="CI5" i="6" s="1"/>
  <c r="CI8" i="6" s="1"/>
  <c r="CI55" i="6" s="1"/>
  <c r="CI5" i="7" s="1"/>
  <c r="CI8" i="7" s="1"/>
  <c r="CI55" i="7" s="1"/>
  <c r="CI5" i="8" s="1"/>
  <c r="CI8" i="8" s="1"/>
  <c r="CI55" i="8" s="1"/>
  <c r="CI5" i="9" s="1"/>
  <c r="CI8" i="9" s="1"/>
  <c r="CI55" i="9" s="1"/>
  <c r="CI5" i="10" s="1"/>
  <c r="CI8" i="10" s="1"/>
  <c r="CI55" i="10" s="1"/>
  <c r="CI5" i="11" s="1"/>
  <c r="CI8" i="11" s="1"/>
  <c r="CI55" i="11" s="1"/>
  <c r="CI5" i="12" s="1"/>
  <c r="CI8" i="12" s="1"/>
  <c r="CI55" i="12" s="1"/>
  <c r="CI5" i="13" s="1"/>
  <c r="CI8" i="13" s="1"/>
  <c r="CI55" i="13" s="1"/>
  <c r="CI5" i="14" s="1"/>
  <c r="CI8" i="14" s="1"/>
  <c r="CI55" i="14" s="1"/>
  <c r="CI5" i="15" s="1"/>
  <c r="CI8" i="15" s="1"/>
  <c r="CI55" i="15" s="1"/>
  <c r="CI5" i="16" s="1"/>
  <c r="CI8" i="16" s="1"/>
  <c r="CI55" i="16" s="1"/>
  <c r="CI5" i="17" s="1"/>
  <c r="CI8" i="17" s="1"/>
  <c r="CI55" i="17" s="1"/>
  <c r="CI5" i="18" s="1"/>
  <c r="CI8" i="18" s="1"/>
  <c r="CI55" i="18" s="1"/>
  <c r="CI5" i="19" s="1"/>
  <c r="CI8" i="19" s="1"/>
  <c r="CI55" i="19" s="1"/>
  <c r="CI5" i="20" s="1"/>
  <c r="CI8" i="20" s="1"/>
  <c r="CI55" i="20" s="1"/>
  <c r="CI5" i="21" s="1"/>
  <c r="CI8" i="21" s="1"/>
  <c r="CI55" i="21" s="1"/>
  <c r="CI5" i="22" s="1"/>
  <c r="CI8" i="22" s="1"/>
  <c r="CI55" i="22" s="1"/>
  <c r="BY8" i="1"/>
  <c r="BX8" i="1"/>
  <c r="BV8" i="1"/>
  <c r="BU8" i="1"/>
  <c r="BK8" i="1"/>
  <c r="BK55" i="1" s="1"/>
  <c r="BK5" i="2" s="1"/>
  <c r="BK8" i="2" s="1"/>
  <c r="BK55" i="2" s="1"/>
  <c r="BK5" i="3" s="1"/>
  <c r="BK8" i="3" s="1"/>
  <c r="BK55" i="3" s="1"/>
  <c r="BK5" i="4" s="1"/>
  <c r="BK8" i="4" s="1"/>
  <c r="BK55" i="4" s="1"/>
  <c r="BK5" i="5" s="1"/>
  <c r="BK8" i="5" s="1"/>
  <c r="BK55" i="5" s="1"/>
  <c r="BK5" i="6" s="1"/>
  <c r="BK8" i="6" s="1"/>
  <c r="BK55" i="6" s="1"/>
  <c r="BK5" i="7" s="1"/>
  <c r="BK8" i="7" s="1"/>
  <c r="BK55" i="7" s="1"/>
  <c r="BK5" i="8" s="1"/>
  <c r="BK8" i="8" s="1"/>
  <c r="BK55" i="8" s="1"/>
  <c r="BK5" i="9" s="1"/>
  <c r="BK8" i="9" s="1"/>
  <c r="BK55" i="9" s="1"/>
  <c r="BK5" i="10" s="1"/>
  <c r="BK8" i="10" s="1"/>
  <c r="BK55" i="10" s="1"/>
  <c r="BK5" i="11" s="1"/>
  <c r="BK8" i="11" s="1"/>
  <c r="BK55" i="11" s="1"/>
  <c r="BK5" i="12" s="1"/>
  <c r="BK8" i="12" s="1"/>
  <c r="BK55" i="12" s="1"/>
  <c r="BK5" i="13" s="1"/>
  <c r="BK8" i="13" s="1"/>
  <c r="BK55" i="13" s="1"/>
  <c r="BK5" i="14" s="1"/>
  <c r="BK8" i="14" s="1"/>
  <c r="BK55" i="14" s="1"/>
  <c r="BK5" i="15" s="1"/>
  <c r="BK8" i="15" s="1"/>
  <c r="BK55" i="15" s="1"/>
  <c r="BK5" i="16" s="1"/>
  <c r="BK8" i="16" s="1"/>
  <c r="BK55" i="16" s="1"/>
  <c r="BK5" i="17" s="1"/>
  <c r="BK8" i="17" s="1"/>
  <c r="BK55" i="17" s="1"/>
  <c r="BK5" i="18" s="1"/>
  <c r="BK8" i="18" s="1"/>
  <c r="BK55" i="18" s="1"/>
  <c r="BK5" i="19" s="1"/>
  <c r="BK8" i="19" s="1"/>
  <c r="BK55" i="19" s="1"/>
  <c r="BK5" i="20" s="1"/>
  <c r="BK8" i="20" s="1"/>
  <c r="BK55" i="20" s="1"/>
  <c r="BK5" i="21" s="1"/>
  <c r="BK8" i="21" s="1"/>
  <c r="BK55" i="21" s="1"/>
  <c r="BK5" i="22" s="1"/>
  <c r="BK8" i="22" s="1"/>
  <c r="BK55" i="22" s="1"/>
  <c r="BI8" i="1"/>
  <c r="AZ8" i="1"/>
  <c r="AL8" i="1"/>
  <c r="AB8" i="1"/>
  <c r="CR8" i="1"/>
  <c r="CR55" i="1" s="1"/>
  <c r="CR5" i="2" s="1"/>
  <c r="CR8" i="2" s="1"/>
  <c r="CR55" i="2" s="1"/>
  <c r="CR5" i="3" s="1"/>
  <c r="CR8" i="3" s="1"/>
  <c r="CR55" i="3" s="1"/>
  <c r="CR5" i="4" s="1"/>
  <c r="CR8" i="4" s="1"/>
  <c r="CR55" i="4" s="1"/>
  <c r="CR5" i="5" s="1"/>
  <c r="CR8" i="5" s="1"/>
  <c r="CR55" i="5" s="1"/>
  <c r="CR5" i="6" s="1"/>
  <c r="CR8" i="6" s="1"/>
  <c r="CR55" i="6" s="1"/>
  <c r="CR5" i="7" s="1"/>
  <c r="CR8" i="7" s="1"/>
  <c r="CR55" i="7" s="1"/>
  <c r="CR5" i="8" s="1"/>
  <c r="CR8" i="8" s="1"/>
  <c r="CR55" i="8" s="1"/>
  <c r="CR5" i="9" s="1"/>
  <c r="CR8" i="9" s="1"/>
  <c r="CR55" i="9" s="1"/>
  <c r="CR5" i="10" s="1"/>
  <c r="CR8" i="10" s="1"/>
  <c r="CR55" i="10" s="1"/>
  <c r="CR5" i="11" s="1"/>
  <c r="CR8" i="11" s="1"/>
  <c r="CR55" i="11" s="1"/>
  <c r="CR5" i="12" s="1"/>
  <c r="CR8" i="12" s="1"/>
  <c r="CR55" i="12" s="1"/>
  <c r="CR5" i="13" s="1"/>
  <c r="CR8" i="13" s="1"/>
  <c r="CR55" i="13" s="1"/>
  <c r="CR5" i="14" s="1"/>
  <c r="CR8" i="14" s="1"/>
  <c r="CR55" i="14" s="1"/>
  <c r="CR5" i="15" s="1"/>
  <c r="CR8" i="15" s="1"/>
  <c r="CR55" i="15" s="1"/>
  <c r="CR5" i="16" s="1"/>
  <c r="CR8" i="16" s="1"/>
  <c r="CR55" i="16" s="1"/>
  <c r="CR5" i="17" s="1"/>
  <c r="CR8" i="17" s="1"/>
  <c r="CR55" i="17" s="1"/>
  <c r="CR5" i="18" s="1"/>
  <c r="CR8" i="18" s="1"/>
  <c r="CR55" i="18" s="1"/>
  <c r="CR5" i="19" s="1"/>
  <c r="CR8" i="19" s="1"/>
  <c r="CR55" i="19" s="1"/>
  <c r="CR5" i="20" s="1"/>
  <c r="CR8" i="20" s="1"/>
  <c r="CR55" i="20" s="1"/>
  <c r="CR5" i="21" s="1"/>
  <c r="CR8" i="21" s="1"/>
  <c r="CR55" i="21" s="1"/>
  <c r="CR5" i="22" s="1"/>
  <c r="CR8" i="22" s="1"/>
  <c r="CR55" i="22" s="1"/>
  <c r="CP8" i="1"/>
  <c r="CM8" i="1"/>
  <c r="CL8" i="1"/>
  <c r="CF8" i="1"/>
  <c r="CF55" i="1" s="1"/>
  <c r="CF5" i="2" s="1"/>
  <c r="CF8" i="2" s="1"/>
  <c r="CF55" i="2" s="1"/>
  <c r="CF5" i="3" s="1"/>
  <c r="CF8" i="3" s="1"/>
  <c r="CF55" i="3" s="1"/>
  <c r="CF5" i="4" s="1"/>
  <c r="CF8" i="4" s="1"/>
  <c r="CF55" i="4" s="1"/>
  <c r="CF5" i="5" s="1"/>
  <c r="CF8" i="5" s="1"/>
  <c r="CF55" i="5" s="1"/>
  <c r="CF5" i="6" s="1"/>
  <c r="CF8" i="6" s="1"/>
  <c r="CF55" i="6" s="1"/>
  <c r="CF5" i="7" s="1"/>
  <c r="CF8" i="7" s="1"/>
  <c r="CF55" i="7" s="1"/>
  <c r="CF5" i="8" s="1"/>
  <c r="CF8" i="8" s="1"/>
  <c r="CF55" i="8" s="1"/>
  <c r="CF5" i="9" s="1"/>
  <c r="CF8" i="9" s="1"/>
  <c r="CF55" i="9" s="1"/>
  <c r="CF5" i="10" s="1"/>
  <c r="CF8" i="10" s="1"/>
  <c r="CF55" i="10" s="1"/>
  <c r="CF5" i="11" s="1"/>
  <c r="CF8" i="11" s="1"/>
  <c r="CF55" i="11" s="1"/>
  <c r="CF5" i="12" s="1"/>
  <c r="CF8" i="12" s="1"/>
  <c r="CF55" i="12" s="1"/>
  <c r="CF5" i="13" s="1"/>
  <c r="CF8" i="13" s="1"/>
  <c r="CF55" i="13" s="1"/>
  <c r="CF5" i="14" s="1"/>
  <c r="CF8" i="14" s="1"/>
  <c r="CF55" i="14" s="1"/>
  <c r="CF5" i="15" s="1"/>
  <c r="CF8" i="15" s="1"/>
  <c r="CF55" i="15" s="1"/>
  <c r="CF5" i="16" s="1"/>
  <c r="CF8" i="16" s="1"/>
  <c r="CF55" i="16" s="1"/>
  <c r="CF5" i="17" s="1"/>
  <c r="CF8" i="17" s="1"/>
  <c r="CF55" i="17" s="1"/>
  <c r="CF5" i="18" s="1"/>
  <c r="CF8" i="18" s="1"/>
  <c r="CF55" i="18" s="1"/>
  <c r="CF5" i="19" s="1"/>
  <c r="CF8" i="19" s="1"/>
  <c r="CF55" i="19" s="1"/>
  <c r="CF5" i="20" s="1"/>
  <c r="CF8" i="20" s="1"/>
  <c r="CF55" i="20" s="1"/>
  <c r="CF5" i="21" s="1"/>
  <c r="CF8" i="21" s="1"/>
  <c r="CF55" i="21" s="1"/>
  <c r="CF5" i="22" s="1"/>
  <c r="CF8" i="22" s="1"/>
  <c r="CF55" i="22" s="1"/>
  <c r="CA8" i="1"/>
  <c r="BZ8" i="1"/>
  <c r="G103" i="1"/>
  <c r="G97" i="1"/>
  <c r="G91" i="1"/>
  <c r="G101" i="1"/>
  <c r="AU8" i="1"/>
  <c r="AT8" i="1"/>
  <c r="G96" i="1"/>
  <c r="AR8" i="1"/>
  <c r="AQ8" i="1"/>
  <c r="AP8" i="1"/>
  <c r="AD8" i="1"/>
  <c r="X8" i="1"/>
  <c r="X55" i="1" s="1"/>
  <c r="V8" i="1"/>
  <c r="K8" i="1"/>
  <c r="J8" i="1"/>
  <c r="H8" i="1"/>
  <c r="H55" i="1" s="1"/>
  <c r="H5" i="2" s="1"/>
  <c r="H8" i="2" s="1"/>
  <c r="H55" i="2" s="1"/>
  <c r="H5" i="3" s="1"/>
  <c r="H8" i="3" s="1"/>
  <c r="H55" i="3" s="1"/>
  <c r="H5" i="4" s="1"/>
  <c r="H8" i="4" s="1"/>
  <c r="H55" i="4" s="1"/>
  <c r="H5" i="5" s="1"/>
  <c r="H8" i="5" s="1"/>
  <c r="H55" i="5" s="1"/>
  <c r="H5" i="6" s="1"/>
  <c r="H8" i="6" s="1"/>
  <c r="H55" i="6" s="1"/>
  <c r="H5" i="7" s="1"/>
  <c r="H8" i="7" s="1"/>
  <c r="H55" i="7" s="1"/>
  <c r="H5" i="8" s="1"/>
  <c r="H8" i="8" s="1"/>
  <c r="H55" i="8" s="1"/>
  <c r="H5" i="9" s="1"/>
  <c r="H8" i="9" s="1"/>
  <c r="H55" i="9" s="1"/>
  <c r="H5" i="10" s="1"/>
  <c r="H8" i="10" s="1"/>
  <c r="H55" i="10" s="1"/>
  <c r="H5" i="11" s="1"/>
  <c r="H8" i="11" s="1"/>
  <c r="H55" i="11" s="1"/>
  <c r="H5" i="12" s="1"/>
  <c r="H8" i="12" s="1"/>
  <c r="H55" i="12" s="1"/>
  <c r="H5" i="13" s="1"/>
  <c r="H8" i="13" s="1"/>
  <c r="H55" i="13" s="1"/>
  <c r="H5" i="14" s="1"/>
  <c r="H8" i="14" s="1"/>
  <c r="H55" i="14" s="1"/>
  <c r="H5" i="15" s="1"/>
  <c r="H8" i="15" s="1"/>
  <c r="H55" i="15" s="1"/>
  <c r="H5" i="16" s="1"/>
  <c r="H8" i="16" s="1"/>
  <c r="H55" i="16" s="1"/>
  <c r="H5" i="17" s="1"/>
  <c r="H8" i="17" s="1"/>
  <c r="H55" i="17" s="1"/>
  <c r="H5" i="18" s="1"/>
  <c r="H8" i="18" s="1"/>
  <c r="H55" i="18" s="1"/>
  <c r="H5" i="19" s="1"/>
  <c r="H8" i="19" s="1"/>
  <c r="H55" i="19" s="1"/>
  <c r="H5" i="20" s="1"/>
  <c r="H8" i="20" s="1"/>
  <c r="H55" i="20" s="1"/>
  <c r="H5" i="21" s="1"/>
  <c r="H8" i="21" s="1"/>
  <c r="H55" i="21" s="1"/>
  <c r="H5" i="22" s="1"/>
  <c r="H8" i="22" s="1"/>
  <c r="H55" i="22" s="1"/>
  <c r="G8" i="1"/>
  <c r="BF8" i="1" l="1"/>
  <c r="G106" i="1"/>
  <c r="CK55" i="1"/>
  <c r="CK5" i="2" s="1"/>
  <c r="CK8" i="2" s="1"/>
  <c r="CK55" i="2" s="1"/>
  <c r="CK5" i="3" s="1"/>
  <c r="CK8" i="3" s="1"/>
  <c r="CK55" i="3" s="1"/>
  <c r="CK5" i="4" s="1"/>
  <c r="CK8" i="4" s="1"/>
  <c r="CK55" i="4" s="1"/>
  <c r="CK5" i="5" s="1"/>
  <c r="CK8" i="5" s="1"/>
  <c r="CK55" i="5" s="1"/>
  <c r="CK5" i="6" s="1"/>
  <c r="CK8" i="6" s="1"/>
  <c r="CK55" i="6" s="1"/>
  <c r="CK5" i="7" s="1"/>
  <c r="CK8" i="7" s="1"/>
  <c r="CK55" i="7" s="1"/>
  <c r="CK5" i="8" s="1"/>
  <c r="CK8" i="8" s="1"/>
  <c r="CK55" i="8" s="1"/>
  <c r="CK5" i="9" s="1"/>
  <c r="CK8" i="9" s="1"/>
  <c r="CK55" i="9" s="1"/>
  <c r="CK5" i="10" s="1"/>
  <c r="CK8" i="10" s="1"/>
  <c r="CK55" i="10" s="1"/>
  <c r="CK5" i="11" s="1"/>
  <c r="CK8" i="11" s="1"/>
  <c r="CK55" i="11" s="1"/>
  <c r="CK5" i="12" s="1"/>
  <c r="CK8" i="12" s="1"/>
  <c r="CK55" i="12" s="1"/>
  <c r="CK5" i="13" s="1"/>
  <c r="CK8" i="13" s="1"/>
  <c r="CK55" i="13" s="1"/>
  <c r="CK5" i="14" s="1"/>
  <c r="CK8" i="14" s="1"/>
  <c r="CK55" i="14" s="1"/>
  <c r="CK5" i="15" s="1"/>
  <c r="CK8" i="15" s="1"/>
  <c r="CK55" i="15" s="1"/>
  <c r="CK5" i="16" s="1"/>
  <c r="CK8" i="16" s="1"/>
  <c r="CK55" i="16" s="1"/>
  <c r="CK5" i="17" s="1"/>
  <c r="CK8" i="17" s="1"/>
  <c r="CK55" i="17" s="1"/>
  <c r="CK5" i="18" s="1"/>
  <c r="CK8" i="18" s="1"/>
  <c r="CK55" i="18" s="1"/>
  <c r="CK5" i="19" s="1"/>
  <c r="CK8" i="19" s="1"/>
  <c r="CK55" i="19" s="1"/>
  <c r="CK5" i="20" s="1"/>
  <c r="CK8" i="20" s="1"/>
  <c r="CK55" i="20" s="1"/>
  <c r="CK5" i="21" s="1"/>
  <c r="CK8" i="21" s="1"/>
  <c r="CK55" i="21" s="1"/>
  <c r="CK5" i="22" s="1"/>
  <c r="CK8" i="22" s="1"/>
  <c r="CK55" i="22" s="1"/>
  <c r="R8" i="1"/>
  <c r="R55" i="1" s="1"/>
  <c r="AH8" i="1"/>
  <c r="AC55" i="1"/>
  <c r="AC5" i="2" s="1"/>
  <c r="AC8" i="2" s="1"/>
  <c r="AC55" i="2" s="1"/>
  <c r="AC5" i="3" s="1"/>
  <c r="AC8" i="3" s="1"/>
  <c r="AC55" i="3" s="1"/>
  <c r="AC5" i="4" s="1"/>
  <c r="AC8" i="4" s="1"/>
  <c r="AC55" i="4" s="1"/>
  <c r="AC5" i="5" s="1"/>
  <c r="AC8" i="5" s="1"/>
  <c r="AC55" i="5" s="1"/>
  <c r="AC5" i="6" s="1"/>
  <c r="AC8" i="6" s="1"/>
  <c r="AC55" i="6" s="1"/>
  <c r="AC5" i="7" s="1"/>
  <c r="AC8" i="7" s="1"/>
  <c r="AC55" i="7" s="1"/>
  <c r="AC5" i="8" s="1"/>
  <c r="AC8" i="8" s="1"/>
  <c r="AC55" i="8" s="1"/>
  <c r="AC5" i="9" s="1"/>
  <c r="AC8" i="9" s="1"/>
  <c r="AC55" i="9" s="1"/>
  <c r="AC5" i="10" s="1"/>
  <c r="AC8" i="10" s="1"/>
  <c r="AC55" i="10" s="1"/>
  <c r="AC5" i="11" s="1"/>
  <c r="AC8" i="11" s="1"/>
  <c r="AC55" i="11" s="1"/>
  <c r="AC5" i="12" s="1"/>
  <c r="AC8" i="12" s="1"/>
  <c r="AC55" i="12" s="1"/>
  <c r="AC5" i="13" s="1"/>
  <c r="AC8" i="13" s="1"/>
  <c r="AC55" i="13" s="1"/>
  <c r="AC5" i="14" s="1"/>
  <c r="AC8" i="14" s="1"/>
  <c r="AC55" i="14" s="1"/>
  <c r="AC5" i="15" s="1"/>
  <c r="AC8" i="15" s="1"/>
  <c r="AC55" i="15" s="1"/>
  <c r="AC5" i="16" s="1"/>
  <c r="AC8" i="16" s="1"/>
  <c r="AC55" i="16" s="1"/>
  <c r="AC5" i="17" s="1"/>
  <c r="AC8" i="17" s="1"/>
  <c r="AC55" i="17" s="1"/>
  <c r="AC5" i="18" s="1"/>
  <c r="AC8" i="18" s="1"/>
  <c r="AC55" i="18" s="1"/>
  <c r="AC5" i="19" s="1"/>
  <c r="AC8" i="19" s="1"/>
  <c r="AC55" i="19" s="1"/>
  <c r="AC5" i="20" s="1"/>
  <c r="AC8" i="20" s="1"/>
  <c r="AC55" i="20" s="1"/>
  <c r="AC5" i="21" s="1"/>
  <c r="AC8" i="21" s="1"/>
  <c r="AC55" i="21" s="1"/>
  <c r="AC5" i="22" s="1"/>
  <c r="AC8" i="22" s="1"/>
  <c r="AC55" i="22" s="1"/>
  <c r="AA5" i="1"/>
  <c r="AA8" i="1" s="1"/>
  <c r="AA55" i="1" s="1"/>
  <c r="AA5" i="2" s="1"/>
  <c r="AA8" i="2" s="1"/>
  <c r="AA55" i="2" s="1"/>
  <c r="AA5" i="3" s="1"/>
  <c r="AA8" i="3" s="1"/>
  <c r="AA55" i="3" s="1"/>
  <c r="AA5" i="4" s="1"/>
  <c r="AA8" i="4" s="1"/>
  <c r="AA55" i="4" s="1"/>
  <c r="AA5" i="5" s="1"/>
  <c r="AA8" i="5" s="1"/>
  <c r="AA55" i="5" s="1"/>
  <c r="AA5" i="6" s="1"/>
  <c r="AA8" i="6" s="1"/>
  <c r="AA55" i="6" s="1"/>
  <c r="AA5" i="7" s="1"/>
  <c r="AA8" i="7" s="1"/>
  <c r="AA55" i="7" s="1"/>
  <c r="AA5" i="8" s="1"/>
  <c r="AA8" i="8" s="1"/>
  <c r="AA55" i="8" s="1"/>
  <c r="AA5" i="9" s="1"/>
  <c r="AA8" i="9" s="1"/>
  <c r="AA55" i="9" s="1"/>
  <c r="AA5" i="10" s="1"/>
  <c r="AA8" i="10" s="1"/>
  <c r="AA55" i="10" s="1"/>
  <c r="AA5" i="11" s="1"/>
  <c r="AA8" i="11" s="1"/>
  <c r="AA55" i="11" s="1"/>
  <c r="AA5" i="12" s="1"/>
  <c r="AA8" i="12" s="1"/>
  <c r="AA55" i="12" s="1"/>
  <c r="AA5" i="13" s="1"/>
  <c r="AA8" i="13" s="1"/>
  <c r="AA55" i="13" s="1"/>
  <c r="AA5" i="14" s="1"/>
  <c r="AA8" i="14" s="1"/>
  <c r="AA55" i="14" s="1"/>
  <c r="AA5" i="15" s="1"/>
  <c r="AA8" i="15" s="1"/>
  <c r="AA55" i="15" s="1"/>
  <c r="AA5" i="16" s="1"/>
  <c r="AA8" i="16" s="1"/>
  <c r="AA55" i="16" s="1"/>
  <c r="AA5" i="17" s="1"/>
  <c r="AA8" i="17" s="1"/>
  <c r="AA55" i="17" s="1"/>
  <c r="AA5" i="18" s="1"/>
  <c r="AA8" i="18" s="1"/>
  <c r="AA55" i="18" s="1"/>
  <c r="AA5" i="19" s="1"/>
  <c r="AA8" i="19" s="1"/>
  <c r="AA55" i="19" s="1"/>
  <c r="AA5" i="20" s="1"/>
  <c r="AA8" i="20" s="1"/>
  <c r="AA55" i="20" s="1"/>
  <c r="AA5" i="21" s="1"/>
  <c r="AA8" i="21" s="1"/>
  <c r="AA55" i="21" s="1"/>
  <c r="AA5" i="22" s="1"/>
  <c r="AA8" i="22" s="1"/>
  <c r="AA55" i="22" s="1"/>
  <c r="AG5" i="1"/>
  <c r="AG8" i="1" s="1"/>
  <c r="G82" i="1"/>
  <c r="AJ5" i="2"/>
  <c r="AJ8" i="2" s="1"/>
  <c r="AJ55" i="2" s="1"/>
  <c r="G106" i="2"/>
  <c r="M106" i="2" s="1"/>
  <c r="AY8" i="2"/>
  <c r="AY55" i="2" s="1"/>
  <c r="AY5" i="3" s="1"/>
  <c r="G69" i="1"/>
  <c r="X5" i="2"/>
  <c r="X8" i="2" s="1"/>
  <c r="X55" i="2" s="1"/>
  <c r="P8" i="1"/>
  <c r="P55" i="1" s="1"/>
  <c r="U5" i="1"/>
  <c r="U8" i="1" s="1"/>
  <c r="U55" i="1" s="1"/>
  <c r="U5" i="2" s="1"/>
  <c r="U8" i="2" s="1"/>
  <c r="U55" i="2" s="1"/>
  <c r="U5" i="3" s="1"/>
  <c r="U8" i="3" s="1"/>
  <c r="U55" i="3" s="1"/>
  <c r="U5" i="4" s="1"/>
  <c r="U8" i="4" s="1"/>
  <c r="U55" i="4" s="1"/>
  <c r="U5" i="5" s="1"/>
  <c r="U8" i="5" s="1"/>
  <c r="U55" i="5" s="1"/>
  <c r="U5" i="6" s="1"/>
  <c r="U8" i="6" s="1"/>
  <c r="U55" i="6" s="1"/>
  <c r="U5" i="7" s="1"/>
  <c r="U8" i="7" s="1"/>
  <c r="U55" i="7" s="1"/>
  <c r="U5" i="8" s="1"/>
  <c r="U8" i="8" s="1"/>
  <c r="U55" i="8" s="1"/>
  <c r="U5" i="9" s="1"/>
  <c r="U8" i="9" s="1"/>
  <c r="U55" i="9" s="1"/>
  <c r="U5" i="10" s="1"/>
  <c r="U8" i="10" s="1"/>
  <c r="U55" i="10" s="1"/>
  <c r="U5" i="11" s="1"/>
  <c r="U8" i="11" s="1"/>
  <c r="U55" i="11" s="1"/>
  <c r="U5" i="12" s="1"/>
  <c r="U8" i="12" s="1"/>
  <c r="U55" i="12" s="1"/>
  <c r="U5" i="13" s="1"/>
  <c r="U8" i="13" s="1"/>
  <c r="U55" i="13" s="1"/>
  <c r="U5" i="14" s="1"/>
  <c r="U8" i="14" s="1"/>
  <c r="U55" i="14" s="1"/>
  <c r="U5" i="15" s="1"/>
  <c r="U8" i="15" s="1"/>
  <c r="U55" i="15" s="1"/>
  <c r="U5" i="16" s="1"/>
  <c r="U8" i="16" s="1"/>
  <c r="U55" i="16" s="1"/>
  <c r="U5" i="17" s="1"/>
  <c r="U8" i="17" s="1"/>
  <c r="U55" i="17" s="1"/>
  <c r="U5" i="18" s="1"/>
  <c r="U8" i="18" s="1"/>
  <c r="U55" i="18" s="1"/>
  <c r="U5" i="19" s="1"/>
  <c r="U8" i="19" s="1"/>
  <c r="U55" i="19" s="1"/>
  <c r="U5" i="20" s="1"/>
  <c r="U8" i="20" s="1"/>
  <c r="U55" i="20" s="1"/>
  <c r="U5" i="21" s="1"/>
  <c r="U8" i="21" s="1"/>
  <c r="U55" i="21" s="1"/>
  <c r="U5" i="22" s="1"/>
  <c r="U8" i="22" s="1"/>
  <c r="U55" i="22" s="1"/>
  <c r="AZ55" i="1"/>
  <c r="AZ5" i="2" s="1"/>
  <c r="AZ8" i="2" s="1"/>
  <c r="AZ55" i="2" s="1"/>
  <c r="AZ5" i="3" s="1"/>
  <c r="AZ8" i="3" s="1"/>
  <c r="AZ55" i="3" s="1"/>
  <c r="AZ5" i="4" s="1"/>
  <c r="AZ8" i="4" s="1"/>
  <c r="AZ55" i="4" s="1"/>
  <c r="AZ5" i="5" s="1"/>
  <c r="AZ8" i="5" s="1"/>
  <c r="AZ55" i="5" s="1"/>
  <c r="AZ5" i="6" s="1"/>
  <c r="AZ8" i="6" s="1"/>
  <c r="AZ55" i="6" s="1"/>
  <c r="AZ5" i="7" s="1"/>
  <c r="AZ8" i="7" s="1"/>
  <c r="AZ55" i="7" s="1"/>
  <c r="AZ5" i="8" s="1"/>
  <c r="AZ8" i="8" s="1"/>
  <c r="AZ55" i="8" s="1"/>
  <c r="AZ5" i="9" s="1"/>
  <c r="AZ8" i="9" s="1"/>
  <c r="AZ55" i="9" s="1"/>
  <c r="AZ5" i="10" s="1"/>
  <c r="AZ8" i="10" s="1"/>
  <c r="AZ55" i="10" s="1"/>
  <c r="AZ5" i="11" s="1"/>
  <c r="AZ8" i="11" s="1"/>
  <c r="AZ55" i="11" s="1"/>
  <c r="AZ5" i="12" s="1"/>
  <c r="AZ8" i="12" s="1"/>
  <c r="AZ55" i="12" s="1"/>
  <c r="AZ5" i="13" s="1"/>
  <c r="AZ8" i="13" s="1"/>
  <c r="AZ55" i="13" s="1"/>
  <c r="AZ5" i="14" s="1"/>
  <c r="AZ8" i="14" s="1"/>
  <c r="AZ55" i="14" s="1"/>
  <c r="AZ5" i="15" s="1"/>
  <c r="AZ8" i="15" s="1"/>
  <c r="AZ55" i="15" s="1"/>
  <c r="AZ5" i="16" s="1"/>
  <c r="AZ8" i="16" s="1"/>
  <c r="AZ55" i="16" s="1"/>
  <c r="AZ5" i="17" s="1"/>
  <c r="AZ8" i="17" s="1"/>
  <c r="AZ55" i="17" s="1"/>
  <c r="AZ5" i="18" s="1"/>
  <c r="AZ8" i="18" s="1"/>
  <c r="AZ55" i="18" s="1"/>
  <c r="AZ5" i="19" s="1"/>
  <c r="AZ8" i="19" s="1"/>
  <c r="AZ55" i="19" s="1"/>
  <c r="AZ5" i="20" s="1"/>
  <c r="AZ8" i="20" s="1"/>
  <c r="AZ55" i="20" s="1"/>
  <c r="AZ5" i="21" s="1"/>
  <c r="AZ8" i="21" s="1"/>
  <c r="AZ55" i="21" s="1"/>
  <c r="AZ5" i="22" s="1"/>
  <c r="AZ8" i="22" s="1"/>
  <c r="AZ55" i="22" s="1"/>
  <c r="AK5" i="1"/>
  <c r="AK8" i="1" s="1"/>
  <c r="AK55" i="1" s="1"/>
  <c r="AK5" i="2" s="1"/>
  <c r="AK8" i="2" s="1"/>
  <c r="AK55" i="2" s="1"/>
  <c r="AK5" i="3" s="1"/>
  <c r="AK8" i="3" s="1"/>
  <c r="AK55" i="3" s="1"/>
  <c r="AK5" i="4" s="1"/>
  <c r="AK8" i="4" s="1"/>
  <c r="AK55" i="4" s="1"/>
  <c r="AK5" i="5" s="1"/>
  <c r="AK8" i="5" s="1"/>
  <c r="AK55" i="5" s="1"/>
  <c r="AK5" i="6" s="1"/>
  <c r="AK8" i="6" s="1"/>
  <c r="AK55" i="6" s="1"/>
  <c r="AK5" i="7" s="1"/>
  <c r="AK8" i="7" s="1"/>
  <c r="AK55" i="7" s="1"/>
  <c r="AK5" i="8" s="1"/>
  <c r="AK8" i="8" s="1"/>
  <c r="AK55" i="8" s="1"/>
  <c r="AK5" i="9" s="1"/>
  <c r="AK8" i="9" s="1"/>
  <c r="AK55" i="9" s="1"/>
  <c r="AK5" i="10" s="1"/>
  <c r="AK8" i="10" s="1"/>
  <c r="AK55" i="10" s="1"/>
  <c r="AK5" i="11" s="1"/>
  <c r="AK8" i="11" s="1"/>
  <c r="AK55" i="11" s="1"/>
  <c r="AK5" i="12" s="1"/>
  <c r="AK8" i="12" s="1"/>
  <c r="AK55" i="12" s="1"/>
  <c r="AK5" i="13" s="1"/>
  <c r="AK8" i="13" s="1"/>
  <c r="AK55" i="13" s="1"/>
  <c r="AK5" i="14" s="1"/>
  <c r="AK8" i="14" s="1"/>
  <c r="AK55" i="14" s="1"/>
  <c r="AK5" i="15" s="1"/>
  <c r="AK8" i="15" s="1"/>
  <c r="AK55" i="15" s="1"/>
  <c r="AK5" i="16" s="1"/>
  <c r="AK8" i="16" s="1"/>
  <c r="AK55" i="16" s="1"/>
  <c r="AK5" i="17" s="1"/>
  <c r="AK8" i="17" s="1"/>
  <c r="AK55" i="17" s="1"/>
  <c r="AK5" i="18" s="1"/>
  <c r="AK8" i="18" s="1"/>
  <c r="AK55" i="18" s="1"/>
  <c r="AK5" i="19" s="1"/>
  <c r="AK8" i="19" s="1"/>
  <c r="AK55" i="19" s="1"/>
  <c r="AK5" i="20" s="1"/>
  <c r="AK8" i="20" s="1"/>
  <c r="AK55" i="20" s="1"/>
  <c r="AK5" i="21" s="1"/>
  <c r="AK8" i="21" s="1"/>
  <c r="AK55" i="21" s="1"/>
  <c r="AK5" i="22" s="1"/>
  <c r="AK8" i="22" s="1"/>
  <c r="AK55" i="22" s="1"/>
  <c r="O5" i="1"/>
  <c r="O8" i="1" s="1"/>
  <c r="O55" i="1" s="1"/>
  <c r="O5" i="2" s="1"/>
  <c r="O8" i="2" s="1"/>
  <c r="O55" i="2" s="1"/>
  <c r="O5" i="3" s="1"/>
  <c r="O8" i="3" s="1"/>
  <c r="O55" i="3" s="1"/>
  <c r="O5" i="4" s="1"/>
  <c r="O8" i="4" s="1"/>
  <c r="O55" i="4" s="1"/>
  <c r="O5" i="5" s="1"/>
  <c r="O8" i="5" s="1"/>
  <c r="O55" i="5" s="1"/>
  <c r="O5" i="6" s="1"/>
  <c r="O8" i="6" s="1"/>
  <c r="O55" i="6" s="1"/>
  <c r="O5" i="7" s="1"/>
  <c r="O8" i="7" s="1"/>
  <c r="O55" i="7" s="1"/>
  <c r="O5" i="8" s="1"/>
  <c r="O8" i="8" s="1"/>
  <c r="O55" i="8" s="1"/>
  <c r="O5" i="9" s="1"/>
  <c r="O8" i="9" s="1"/>
  <c r="O55" i="9" s="1"/>
  <c r="O5" i="10" s="1"/>
  <c r="O8" i="10" s="1"/>
  <c r="O55" i="10" s="1"/>
  <c r="O5" i="11" s="1"/>
  <c r="O8" i="11" s="1"/>
  <c r="O55" i="11" s="1"/>
  <c r="O5" i="12" s="1"/>
  <c r="O8" i="12" s="1"/>
  <c r="O55" i="12" s="1"/>
  <c r="O5" i="13" s="1"/>
  <c r="O8" i="13" s="1"/>
  <c r="O55" i="13" s="1"/>
  <c r="O5" i="14" s="1"/>
  <c r="O8" i="14" s="1"/>
  <c r="O55" i="14" s="1"/>
  <c r="O5" i="15" s="1"/>
  <c r="O8" i="15" s="1"/>
  <c r="O55" i="15" s="1"/>
  <c r="O5" i="16" s="1"/>
  <c r="O8" i="16" s="1"/>
  <c r="O55" i="16" s="1"/>
  <c r="O5" i="17" s="1"/>
  <c r="O8" i="17" s="1"/>
  <c r="O55" i="17" s="1"/>
  <c r="O5" i="18" s="1"/>
  <c r="O8" i="18" s="1"/>
  <c r="O55" i="18" s="1"/>
  <c r="O5" i="19" s="1"/>
  <c r="O8" i="19" s="1"/>
  <c r="O55" i="19" s="1"/>
  <c r="O5" i="20" s="1"/>
  <c r="O8" i="20" s="1"/>
  <c r="O55" i="20" s="1"/>
  <c r="O5" i="21" s="1"/>
  <c r="O8" i="21" s="1"/>
  <c r="O55" i="21" s="1"/>
  <c r="O5" i="22" s="1"/>
  <c r="O8" i="22" s="1"/>
  <c r="O55" i="22" s="1"/>
  <c r="D61" i="1"/>
  <c r="D76" i="1"/>
  <c r="I54" i="1"/>
  <c r="CV55" i="1"/>
  <c r="CV5" i="2" s="1"/>
  <c r="CV8" i="2" s="1"/>
  <c r="CV55" i="2" s="1"/>
  <c r="CV5" i="3" s="1"/>
  <c r="CV8" i="3" s="1"/>
  <c r="CV55" i="3" s="1"/>
  <c r="CV5" i="4" s="1"/>
  <c r="CV8" i="4" s="1"/>
  <c r="CV55" i="4" s="1"/>
  <c r="CV5" i="5" s="1"/>
  <c r="CV8" i="5" s="1"/>
  <c r="CV55" i="5" s="1"/>
  <c r="CV5" i="6" s="1"/>
  <c r="CV8" i="6" s="1"/>
  <c r="CV55" i="6" s="1"/>
  <c r="CV5" i="7" s="1"/>
  <c r="CV8" i="7" s="1"/>
  <c r="CV55" i="7" s="1"/>
  <c r="CV5" i="8" s="1"/>
  <c r="CV8" i="8" s="1"/>
  <c r="CV55" i="8" s="1"/>
  <c r="CV5" i="9" s="1"/>
  <c r="CV8" i="9" s="1"/>
  <c r="CV55" i="9" s="1"/>
  <c r="CV5" i="10" s="1"/>
  <c r="CV8" i="10" s="1"/>
  <c r="CV55" i="10" s="1"/>
  <c r="CV5" i="11" s="1"/>
  <c r="CV8" i="11" s="1"/>
  <c r="CV55" i="11" s="1"/>
  <c r="CV5" i="12" s="1"/>
  <c r="CV8" i="12" s="1"/>
  <c r="CV55" i="12" s="1"/>
  <c r="CV5" i="13" s="1"/>
  <c r="CV8" i="13" s="1"/>
  <c r="CV55" i="13" s="1"/>
  <c r="CV5" i="14" s="1"/>
  <c r="CV8" i="14" s="1"/>
  <c r="CV55" i="14" s="1"/>
  <c r="CV5" i="15" s="1"/>
  <c r="CV8" i="15" s="1"/>
  <c r="CV55" i="15" s="1"/>
  <c r="CV5" i="16" s="1"/>
  <c r="CV8" i="16" s="1"/>
  <c r="CV55" i="16" s="1"/>
  <c r="CV5" i="17" s="1"/>
  <c r="CV8" i="17" s="1"/>
  <c r="CV55" i="17" s="1"/>
  <c r="CV5" i="18" s="1"/>
  <c r="CV8" i="18" s="1"/>
  <c r="CV55" i="18" s="1"/>
  <c r="CV5" i="19" s="1"/>
  <c r="CV8" i="19" s="1"/>
  <c r="CV55" i="19" s="1"/>
  <c r="CV5" i="20" s="1"/>
  <c r="CV8" i="20" s="1"/>
  <c r="CV55" i="20" s="1"/>
  <c r="CV5" i="21" s="1"/>
  <c r="CV8" i="21" s="1"/>
  <c r="CV55" i="21" s="1"/>
  <c r="CV5" i="22" s="1"/>
  <c r="CV8" i="22" s="1"/>
  <c r="CV55" i="22" s="1"/>
  <c r="AW8" i="1"/>
  <c r="L55" i="1"/>
  <c r="AO55" i="1"/>
  <c r="AO5" i="2" s="1"/>
  <c r="AO8" i="2" s="1"/>
  <c r="AO55" i="2" s="1"/>
  <c r="AO5" i="3" s="1"/>
  <c r="AO8" i="3" s="1"/>
  <c r="AO55" i="3" s="1"/>
  <c r="AO5" i="4" s="1"/>
  <c r="AO8" i="4" s="1"/>
  <c r="AO55" i="4" s="1"/>
  <c r="AO5" i="5" s="1"/>
  <c r="AO8" i="5" s="1"/>
  <c r="AO55" i="5" s="1"/>
  <c r="AO5" i="6" s="1"/>
  <c r="AO8" i="6" s="1"/>
  <c r="AO55" i="6" s="1"/>
  <c r="AO5" i="7" s="1"/>
  <c r="AO8" i="7" s="1"/>
  <c r="AO55" i="7" s="1"/>
  <c r="AO5" i="8" s="1"/>
  <c r="AO8" i="8" s="1"/>
  <c r="AO55" i="8" s="1"/>
  <c r="AO5" i="9" s="1"/>
  <c r="AO8" i="9" s="1"/>
  <c r="AO55" i="9" s="1"/>
  <c r="AO5" i="10" s="1"/>
  <c r="AO8" i="10" s="1"/>
  <c r="AO55" i="10" s="1"/>
  <c r="AO5" i="11" s="1"/>
  <c r="AO8" i="11" s="1"/>
  <c r="AO55" i="11" s="1"/>
  <c r="AO5" i="12" s="1"/>
  <c r="AO8" i="12" s="1"/>
  <c r="AO55" i="12" s="1"/>
  <c r="AO5" i="13" s="1"/>
  <c r="AO8" i="13" s="1"/>
  <c r="AO55" i="13" s="1"/>
  <c r="AO5" i="14" s="1"/>
  <c r="AO8" i="14" s="1"/>
  <c r="AO55" i="14" s="1"/>
  <c r="AO5" i="15" s="1"/>
  <c r="AO8" i="15" s="1"/>
  <c r="AO55" i="15" s="1"/>
  <c r="AO5" i="16" s="1"/>
  <c r="AO8" i="16" s="1"/>
  <c r="AO55" i="16" s="1"/>
  <c r="AO5" i="17" s="1"/>
  <c r="AO8" i="17" s="1"/>
  <c r="AO55" i="17" s="1"/>
  <c r="AO5" i="18" s="1"/>
  <c r="AO8" i="18" s="1"/>
  <c r="AO55" i="18" s="1"/>
  <c r="AO5" i="19" s="1"/>
  <c r="AO8" i="19" s="1"/>
  <c r="AO55" i="19" s="1"/>
  <c r="AO5" i="20" s="1"/>
  <c r="AO8" i="20" s="1"/>
  <c r="AO55" i="20" s="1"/>
  <c r="AO5" i="21" s="1"/>
  <c r="AO8" i="21" s="1"/>
  <c r="AO55" i="21" s="1"/>
  <c r="AO5" i="22" s="1"/>
  <c r="AO8" i="22" s="1"/>
  <c r="AO55" i="22" s="1"/>
  <c r="K109" i="1"/>
  <c r="G55" i="1"/>
  <c r="G5" i="2" s="1"/>
  <c r="G8" i="2" s="1"/>
  <c r="G55" i="2" s="1"/>
  <c r="G5" i="3" s="1"/>
  <c r="G8" i="3" s="1"/>
  <c r="G55" i="3" s="1"/>
  <c r="G5" i="4" s="1"/>
  <c r="G8" i="4" s="1"/>
  <c r="G55" i="4" s="1"/>
  <c r="G5" i="5" s="1"/>
  <c r="G8" i="5" s="1"/>
  <c r="G55" i="5" s="1"/>
  <c r="G5" i="6" s="1"/>
  <c r="G8" i="6" s="1"/>
  <c r="G55" i="6" s="1"/>
  <c r="G5" i="7" s="1"/>
  <c r="G8" i="7" s="1"/>
  <c r="G55" i="7" s="1"/>
  <c r="G5" i="8" s="1"/>
  <c r="G8" i="8" s="1"/>
  <c r="G55" i="8" s="1"/>
  <c r="G5" i="9" s="1"/>
  <c r="G8" i="9" s="1"/>
  <c r="G55" i="9" s="1"/>
  <c r="G5" i="10" s="1"/>
  <c r="G8" i="10" s="1"/>
  <c r="G55" i="10" s="1"/>
  <c r="G5" i="11" s="1"/>
  <c r="G8" i="11" s="1"/>
  <c r="G55" i="11" s="1"/>
  <c r="G5" i="12" s="1"/>
  <c r="G8" i="12" s="1"/>
  <c r="G55" i="12" s="1"/>
  <c r="G5" i="13" s="1"/>
  <c r="G8" i="13" s="1"/>
  <c r="G55" i="13" s="1"/>
  <c r="G5" i="14" s="1"/>
  <c r="G8" i="14" s="1"/>
  <c r="G55" i="14" s="1"/>
  <c r="G5" i="15" s="1"/>
  <c r="G8" i="15" s="1"/>
  <c r="G55" i="15" s="1"/>
  <c r="G5" i="16" s="1"/>
  <c r="G8" i="16" s="1"/>
  <c r="G55" i="16" s="1"/>
  <c r="G5" i="17" s="1"/>
  <c r="G8" i="17" s="1"/>
  <c r="G55" i="17" s="1"/>
  <c r="G5" i="18" s="1"/>
  <c r="G8" i="18" s="1"/>
  <c r="G55" i="18" s="1"/>
  <c r="G5" i="19" s="1"/>
  <c r="G8" i="19" s="1"/>
  <c r="G55" i="19" s="1"/>
  <c r="G5" i="20" s="1"/>
  <c r="G8" i="20" s="1"/>
  <c r="G55" i="20" s="1"/>
  <c r="G5" i="21" s="1"/>
  <c r="G8" i="21" s="1"/>
  <c r="G55" i="21" s="1"/>
  <c r="G5" i="22" s="1"/>
  <c r="G8" i="22" s="1"/>
  <c r="G55" i="22" s="1"/>
  <c r="S55" i="1"/>
  <c r="S5" i="2" s="1"/>
  <c r="S8" i="2" s="1"/>
  <c r="S55" i="2" s="1"/>
  <c r="S5" i="3" s="1"/>
  <c r="S8" i="3" s="1"/>
  <c r="S55" i="3" s="1"/>
  <c r="S5" i="4" s="1"/>
  <c r="S8" i="4" s="1"/>
  <c r="S55" i="4" s="1"/>
  <c r="S5" i="5" s="1"/>
  <c r="S8" i="5" s="1"/>
  <c r="S55" i="5" s="1"/>
  <c r="S5" i="6" s="1"/>
  <c r="S8" i="6" s="1"/>
  <c r="S55" i="6" s="1"/>
  <c r="S5" i="7" s="1"/>
  <c r="S8" i="7" s="1"/>
  <c r="S55" i="7" s="1"/>
  <c r="S5" i="8" s="1"/>
  <c r="S8" i="8" s="1"/>
  <c r="S55" i="8" s="1"/>
  <c r="S5" i="9" s="1"/>
  <c r="S8" i="9" s="1"/>
  <c r="S55" i="9" s="1"/>
  <c r="S5" i="10" s="1"/>
  <c r="S8" i="10" s="1"/>
  <c r="S55" i="10" s="1"/>
  <c r="S5" i="11" s="1"/>
  <c r="S8" i="11" s="1"/>
  <c r="S55" i="11" s="1"/>
  <c r="S5" i="12" s="1"/>
  <c r="S8" i="12" s="1"/>
  <c r="S55" i="12" s="1"/>
  <c r="S5" i="13" s="1"/>
  <c r="S8" i="13" s="1"/>
  <c r="S55" i="13" s="1"/>
  <c r="S5" i="14" s="1"/>
  <c r="S8" i="14" s="1"/>
  <c r="S55" i="14" s="1"/>
  <c r="S5" i="15" s="1"/>
  <c r="S8" i="15" s="1"/>
  <c r="S55" i="15" s="1"/>
  <c r="S5" i="16" s="1"/>
  <c r="AE55" i="1"/>
  <c r="AE5" i="2" s="1"/>
  <c r="AE8" i="2" s="1"/>
  <c r="AE55" i="2" s="1"/>
  <c r="AE5" i="3" s="1"/>
  <c r="AE8" i="3" s="1"/>
  <c r="AE55" i="3" s="1"/>
  <c r="AE5" i="4" s="1"/>
  <c r="AE8" i="4" s="1"/>
  <c r="AE55" i="4" s="1"/>
  <c r="AE5" i="5" s="1"/>
  <c r="AE8" i="5" s="1"/>
  <c r="AE55" i="5" s="1"/>
  <c r="AE5" i="6" s="1"/>
  <c r="AE8" i="6" s="1"/>
  <c r="AE55" i="6" s="1"/>
  <c r="AE5" i="7" s="1"/>
  <c r="AE8" i="7" s="1"/>
  <c r="AE55" i="7" s="1"/>
  <c r="AE5" i="8" s="1"/>
  <c r="AE8" i="8" s="1"/>
  <c r="AE55" i="8" s="1"/>
  <c r="AE5" i="9" s="1"/>
  <c r="AE8" i="9" s="1"/>
  <c r="AE55" i="9" s="1"/>
  <c r="AE5" i="10" s="1"/>
  <c r="AE8" i="10" s="1"/>
  <c r="AE55" i="10" s="1"/>
  <c r="AE5" i="11" s="1"/>
  <c r="AE8" i="11" s="1"/>
  <c r="AE55" i="11" s="1"/>
  <c r="AE5" i="12" s="1"/>
  <c r="AE8" i="12" s="1"/>
  <c r="AE55" i="12" s="1"/>
  <c r="AE5" i="13" s="1"/>
  <c r="AE8" i="13" s="1"/>
  <c r="AE55" i="13" s="1"/>
  <c r="AE5" i="14" s="1"/>
  <c r="AE8" i="14" s="1"/>
  <c r="AE55" i="14" s="1"/>
  <c r="AE5" i="15" s="1"/>
  <c r="AE8" i="15" s="1"/>
  <c r="AE55" i="15" s="1"/>
  <c r="AE5" i="16" s="1"/>
  <c r="AE8" i="16" s="1"/>
  <c r="AE55" i="16" s="1"/>
  <c r="AE5" i="17" s="1"/>
  <c r="AE8" i="17" s="1"/>
  <c r="AE55" i="17" s="1"/>
  <c r="AE5" i="18" s="1"/>
  <c r="AE8" i="18" s="1"/>
  <c r="AE55" i="18" s="1"/>
  <c r="AE5" i="19" s="1"/>
  <c r="AE8" i="19" s="1"/>
  <c r="AE55" i="19" s="1"/>
  <c r="AE5" i="20" s="1"/>
  <c r="AE8" i="20" s="1"/>
  <c r="AE55" i="20" s="1"/>
  <c r="AE5" i="21" s="1"/>
  <c r="AE8" i="21" s="1"/>
  <c r="AE55" i="21" s="1"/>
  <c r="AE5" i="22" s="1"/>
  <c r="AE8" i="22" s="1"/>
  <c r="AE55" i="22" s="1"/>
  <c r="AQ55" i="1"/>
  <c r="AQ5" i="2" s="1"/>
  <c r="AQ8" i="2" s="1"/>
  <c r="AQ55" i="2" s="1"/>
  <c r="AQ5" i="3" s="1"/>
  <c r="AQ8" i="3" s="1"/>
  <c r="AQ55" i="3" s="1"/>
  <c r="AQ5" i="4" s="1"/>
  <c r="AQ8" i="4" s="1"/>
  <c r="AQ55" i="4" s="1"/>
  <c r="AQ5" i="5" s="1"/>
  <c r="AQ8" i="5" s="1"/>
  <c r="AQ55" i="5" s="1"/>
  <c r="AQ5" i="6" s="1"/>
  <c r="AQ8" i="6" s="1"/>
  <c r="AQ55" i="6" s="1"/>
  <c r="AQ5" i="7" s="1"/>
  <c r="AQ8" i="7" s="1"/>
  <c r="AQ55" i="7" s="1"/>
  <c r="AQ5" i="8" s="1"/>
  <c r="AQ8" i="8" s="1"/>
  <c r="AQ55" i="8" s="1"/>
  <c r="AQ5" i="9" s="1"/>
  <c r="AQ8" i="9" s="1"/>
  <c r="AQ55" i="9" s="1"/>
  <c r="AQ5" i="10" s="1"/>
  <c r="AQ8" i="10" s="1"/>
  <c r="AQ55" i="10" s="1"/>
  <c r="AQ5" i="11" s="1"/>
  <c r="AQ8" i="11" s="1"/>
  <c r="AQ55" i="11" s="1"/>
  <c r="AQ5" i="12" s="1"/>
  <c r="AQ8" i="12" s="1"/>
  <c r="AQ55" i="12" s="1"/>
  <c r="AQ5" i="13" s="1"/>
  <c r="AQ8" i="13" s="1"/>
  <c r="AQ55" i="13" s="1"/>
  <c r="AQ5" i="14" s="1"/>
  <c r="AQ8" i="14" s="1"/>
  <c r="AQ55" i="14" s="1"/>
  <c r="AQ5" i="15" s="1"/>
  <c r="AQ8" i="15" s="1"/>
  <c r="AQ55" i="15" s="1"/>
  <c r="AQ5" i="16" s="1"/>
  <c r="AQ8" i="16" s="1"/>
  <c r="AQ55" i="16" s="1"/>
  <c r="AQ5" i="17" s="1"/>
  <c r="AQ8" i="17" s="1"/>
  <c r="AQ55" i="17" s="1"/>
  <c r="AQ5" i="18" s="1"/>
  <c r="AQ8" i="18" s="1"/>
  <c r="AQ55" i="18" s="1"/>
  <c r="AQ5" i="19" s="1"/>
  <c r="AQ8" i="19" s="1"/>
  <c r="AQ55" i="19" s="1"/>
  <c r="AQ5" i="20" s="1"/>
  <c r="AQ8" i="20" s="1"/>
  <c r="AQ55" i="20" s="1"/>
  <c r="AQ5" i="21" s="1"/>
  <c r="AQ8" i="21" s="1"/>
  <c r="AQ55" i="21" s="1"/>
  <c r="AQ5" i="22" s="1"/>
  <c r="AQ8" i="22" s="1"/>
  <c r="AQ55" i="22" s="1"/>
  <c r="BO55" i="1"/>
  <c r="BO5" i="2" s="1"/>
  <c r="BO8" i="2" s="1"/>
  <c r="BO55" i="2" s="1"/>
  <c r="BO5" i="3" s="1"/>
  <c r="BO8" i="3" s="1"/>
  <c r="BO55" i="3" s="1"/>
  <c r="BO5" i="4" s="1"/>
  <c r="BO8" i="4" s="1"/>
  <c r="BO55" i="4" s="1"/>
  <c r="BO5" i="5" s="1"/>
  <c r="BO8" i="5" s="1"/>
  <c r="BO55" i="5" s="1"/>
  <c r="BO5" i="6" s="1"/>
  <c r="BO8" i="6" s="1"/>
  <c r="BO55" i="6" s="1"/>
  <c r="BO5" i="7" s="1"/>
  <c r="BO8" i="7" s="1"/>
  <c r="BO55" i="7" s="1"/>
  <c r="BO5" i="8" s="1"/>
  <c r="BO8" i="8" s="1"/>
  <c r="BO55" i="8" s="1"/>
  <c r="BO5" i="9" s="1"/>
  <c r="BO8" i="9" s="1"/>
  <c r="BO55" i="9" s="1"/>
  <c r="BO5" i="10" s="1"/>
  <c r="BO8" i="10" s="1"/>
  <c r="BO55" i="10" s="1"/>
  <c r="BO5" i="11" s="1"/>
  <c r="BO8" i="11" s="1"/>
  <c r="BO55" i="11" s="1"/>
  <c r="BO5" i="12" s="1"/>
  <c r="BO8" i="12" s="1"/>
  <c r="BO55" i="12" s="1"/>
  <c r="BO5" i="13" s="1"/>
  <c r="BO8" i="13" s="1"/>
  <c r="BO55" i="13" s="1"/>
  <c r="BO5" i="14" s="1"/>
  <c r="BO8" i="14" s="1"/>
  <c r="BO55" i="14" s="1"/>
  <c r="BO5" i="15" s="1"/>
  <c r="BO8" i="15" s="1"/>
  <c r="BO55" i="15" s="1"/>
  <c r="BO5" i="16" s="1"/>
  <c r="BO8" i="16" s="1"/>
  <c r="BO55" i="16" s="1"/>
  <c r="BO5" i="17" s="1"/>
  <c r="BO8" i="17" s="1"/>
  <c r="BO55" i="17" s="1"/>
  <c r="BO5" i="18" s="1"/>
  <c r="BO8" i="18" s="1"/>
  <c r="BO55" i="18" s="1"/>
  <c r="BO5" i="19" s="1"/>
  <c r="BO8" i="19" s="1"/>
  <c r="BO55" i="19" s="1"/>
  <c r="BO5" i="20" s="1"/>
  <c r="BO8" i="20" s="1"/>
  <c r="BO55" i="20" s="1"/>
  <c r="BO5" i="21" s="1"/>
  <c r="BO8" i="21" s="1"/>
  <c r="BO55" i="21" s="1"/>
  <c r="BO5" i="22" s="1"/>
  <c r="BO8" i="22" s="1"/>
  <c r="BO55" i="22" s="1"/>
  <c r="CM55" i="1"/>
  <c r="CM5" i="2" s="1"/>
  <c r="CM8" i="2" s="1"/>
  <c r="CM55" i="2" s="1"/>
  <c r="CM5" i="3" s="1"/>
  <c r="CM8" i="3" s="1"/>
  <c r="CM55" i="3" s="1"/>
  <c r="CM5" i="4" s="1"/>
  <c r="CM8" i="4" s="1"/>
  <c r="CM55" i="4" s="1"/>
  <c r="CM5" i="5" s="1"/>
  <c r="CM8" i="5" s="1"/>
  <c r="CM55" i="5" s="1"/>
  <c r="CM5" i="6" s="1"/>
  <c r="CM8" i="6" s="1"/>
  <c r="CM55" i="6" s="1"/>
  <c r="CM5" i="7" s="1"/>
  <c r="CM8" i="7" s="1"/>
  <c r="CM55" i="7" s="1"/>
  <c r="CM5" i="8" s="1"/>
  <c r="CM8" i="8" s="1"/>
  <c r="CM55" i="8" s="1"/>
  <c r="CM5" i="9" s="1"/>
  <c r="CM8" i="9" s="1"/>
  <c r="CM55" i="9" s="1"/>
  <c r="CM5" i="10" s="1"/>
  <c r="CM8" i="10" s="1"/>
  <c r="CM55" i="10" s="1"/>
  <c r="CM5" i="11" s="1"/>
  <c r="CM8" i="11" s="1"/>
  <c r="CM55" i="11" s="1"/>
  <c r="CM5" i="12" s="1"/>
  <c r="CM8" i="12" s="1"/>
  <c r="CM55" i="12" s="1"/>
  <c r="CM5" i="13" s="1"/>
  <c r="CM8" i="13" s="1"/>
  <c r="CM55" i="13" s="1"/>
  <c r="CM5" i="14" s="1"/>
  <c r="CM8" i="14" s="1"/>
  <c r="CM55" i="14" s="1"/>
  <c r="CM5" i="15" s="1"/>
  <c r="CM8" i="15" s="1"/>
  <c r="CM55" i="15" s="1"/>
  <c r="CM5" i="16" s="1"/>
  <c r="CM8" i="16" s="1"/>
  <c r="CM55" i="16" s="1"/>
  <c r="CM5" i="17" s="1"/>
  <c r="CM8" i="17" s="1"/>
  <c r="CM55" i="17" s="1"/>
  <c r="CM5" i="18" s="1"/>
  <c r="CM8" i="18" s="1"/>
  <c r="CM55" i="18" s="1"/>
  <c r="CM5" i="19" s="1"/>
  <c r="CM8" i="19" s="1"/>
  <c r="CM55" i="19" s="1"/>
  <c r="CM5" i="20" s="1"/>
  <c r="CM8" i="20" s="1"/>
  <c r="CM55" i="20" s="1"/>
  <c r="CM5" i="21" s="1"/>
  <c r="CM8" i="21" s="1"/>
  <c r="CM55" i="21" s="1"/>
  <c r="CM5" i="22" s="1"/>
  <c r="CM8" i="22" s="1"/>
  <c r="CM55" i="22" s="1"/>
  <c r="M55" i="1"/>
  <c r="AW54" i="1"/>
  <c r="L101" i="1"/>
  <c r="L109" i="1" s="1"/>
  <c r="BB54" i="1"/>
  <c r="I110" i="1"/>
  <c r="AD55" i="1"/>
  <c r="AF55" i="1"/>
  <c r="CB55" i="1"/>
  <c r="CB5" i="2" s="1"/>
  <c r="CB8" i="2" s="1"/>
  <c r="CB55" i="2" s="1"/>
  <c r="CB5" i="3" s="1"/>
  <c r="CB8" i="3" s="1"/>
  <c r="CB55" i="3" s="1"/>
  <c r="CB5" i="4" s="1"/>
  <c r="CB8" i="4" s="1"/>
  <c r="CB55" i="4" s="1"/>
  <c r="CB5" i="5" s="1"/>
  <c r="CB8" i="5" s="1"/>
  <c r="CB55" i="5" s="1"/>
  <c r="CB5" i="6" s="1"/>
  <c r="CB8" i="6" s="1"/>
  <c r="CB55" i="6" s="1"/>
  <c r="CB5" i="7" s="1"/>
  <c r="CB8" i="7" s="1"/>
  <c r="CB55" i="7" s="1"/>
  <c r="CB5" i="8" s="1"/>
  <c r="CB8" i="8" s="1"/>
  <c r="CB55" i="8" s="1"/>
  <c r="CB5" i="9" s="1"/>
  <c r="CB8" i="9" s="1"/>
  <c r="CB55" i="9" s="1"/>
  <c r="CB5" i="10" s="1"/>
  <c r="CB8" i="10" s="1"/>
  <c r="CB55" i="10" s="1"/>
  <c r="CB5" i="11" s="1"/>
  <c r="CB8" i="11" s="1"/>
  <c r="CB55" i="11" s="1"/>
  <c r="CB5" i="12" s="1"/>
  <c r="CB8" i="12" s="1"/>
  <c r="CB55" i="12" s="1"/>
  <c r="CB5" i="13" s="1"/>
  <c r="CB8" i="13" s="1"/>
  <c r="CB55" i="13" s="1"/>
  <c r="CB5" i="14" s="1"/>
  <c r="CB8" i="14" s="1"/>
  <c r="CB55" i="14" s="1"/>
  <c r="CB5" i="15" s="1"/>
  <c r="CB8" i="15" s="1"/>
  <c r="CB55" i="15" s="1"/>
  <c r="CB5" i="16" s="1"/>
  <c r="CB8" i="16" s="1"/>
  <c r="CB55" i="16" s="1"/>
  <c r="CB5" i="17" s="1"/>
  <c r="CB8" i="17" s="1"/>
  <c r="CB55" i="17" s="1"/>
  <c r="CB5" i="18" s="1"/>
  <c r="CB8" i="18" s="1"/>
  <c r="CB55" i="18" s="1"/>
  <c r="CB5" i="19" s="1"/>
  <c r="CB8" i="19" s="1"/>
  <c r="CB55" i="19" s="1"/>
  <c r="CB5" i="20" s="1"/>
  <c r="CB8" i="20" s="1"/>
  <c r="CB55" i="20" s="1"/>
  <c r="CB5" i="21" s="1"/>
  <c r="CB8" i="21" s="1"/>
  <c r="CB55" i="21" s="1"/>
  <c r="CB5" i="22" s="1"/>
  <c r="CB8" i="22" s="1"/>
  <c r="CB55" i="22" s="1"/>
  <c r="CO55" i="1"/>
  <c r="CO5" i="2" s="1"/>
  <c r="CO8" i="2" s="1"/>
  <c r="CO55" i="2" s="1"/>
  <c r="CO5" i="3" s="1"/>
  <c r="CO8" i="3" s="1"/>
  <c r="CO55" i="3" s="1"/>
  <c r="CO5" i="4" s="1"/>
  <c r="CO8" i="4" s="1"/>
  <c r="CO55" i="4" s="1"/>
  <c r="CO5" i="5" s="1"/>
  <c r="CO8" i="5" s="1"/>
  <c r="CO55" i="5" s="1"/>
  <c r="CO5" i="6" s="1"/>
  <c r="CO8" i="6" s="1"/>
  <c r="CO55" i="6" s="1"/>
  <c r="CO5" i="7" s="1"/>
  <c r="CO8" i="7" s="1"/>
  <c r="CO55" i="7" s="1"/>
  <c r="CO5" i="8" s="1"/>
  <c r="CO8" i="8" s="1"/>
  <c r="CO55" i="8" s="1"/>
  <c r="CO5" i="9" s="1"/>
  <c r="CO8" i="9" s="1"/>
  <c r="CO55" i="9" s="1"/>
  <c r="CO5" i="10" s="1"/>
  <c r="CO8" i="10" s="1"/>
  <c r="CO55" i="10" s="1"/>
  <c r="CO5" i="11" s="1"/>
  <c r="CO8" i="11" s="1"/>
  <c r="CO55" i="11" s="1"/>
  <c r="CO5" i="12" s="1"/>
  <c r="CO8" i="12" s="1"/>
  <c r="CO55" i="12" s="1"/>
  <c r="CO5" i="13" s="1"/>
  <c r="CO8" i="13" s="1"/>
  <c r="CO55" i="13" s="1"/>
  <c r="CO5" i="14" s="1"/>
  <c r="CO8" i="14" s="1"/>
  <c r="CO55" i="14" s="1"/>
  <c r="CO5" i="15" s="1"/>
  <c r="CO8" i="15" s="1"/>
  <c r="CO55" i="15" s="1"/>
  <c r="CO5" i="16" s="1"/>
  <c r="CO8" i="16" s="1"/>
  <c r="CO55" i="16" s="1"/>
  <c r="CO5" i="17" s="1"/>
  <c r="CO8" i="17" s="1"/>
  <c r="CO55" i="17" s="1"/>
  <c r="CO5" i="18" s="1"/>
  <c r="CO8" i="18" s="1"/>
  <c r="CO55" i="18" s="1"/>
  <c r="CO5" i="19" s="1"/>
  <c r="CO8" i="19" s="1"/>
  <c r="CO55" i="19" s="1"/>
  <c r="CO5" i="20" s="1"/>
  <c r="CO8" i="20" s="1"/>
  <c r="CO55" i="20" s="1"/>
  <c r="CO5" i="21" s="1"/>
  <c r="CO8" i="21" s="1"/>
  <c r="CO55" i="21" s="1"/>
  <c r="CO5" i="22" s="1"/>
  <c r="CO8" i="22" s="1"/>
  <c r="CO55" i="22" s="1"/>
  <c r="J55" i="1"/>
  <c r="J5" i="2" s="1"/>
  <c r="J8" i="2" s="1"/>
  <c r="J55" i="2" s="1"/>
  <c r="J5" i="3" s="1"/>
  <c r="J8" i="3" s="1"/>
  <c r="J55" i="3" s="1"/>
  <c r="J5" i="4" s="1"/>
  <c r="J8" i="4" s="1"/>
  <c r="J55" i="4" s="1"/>
  <c r="J5" i="5" s="1"/>
  <c r="J8" i="5" s="1"/>
  <c r="J55" i="5" s="1"/>
  <c r="J5" i="6" s="1"/>
  <c r="J8" i="6" s="1"/>
  <c r="J55" i="6" s="1"/>
  <c r="J5" i="7" s="1"/>
  <c r="J8" i="7" s="1"/>
  <c r="J55" i="7" s="1"/>
  <c r="J5" i="8" s="1"/>
  <c r="J8" i="8" s="1"/>
  <c r="J55" i="8" s="1"/>
  <c r="J5" i="9" s="1"/>
  <c r="J8" i="9" s="1"/>
  <c r="J55" i="9" s="1"/>
  <c r="J5" i="10" s="1"/>
  <c r="J8" i="10" s="1"/>
  <c r="J55" i="10" s="1"/>
  <c r="J5" i="11" s="1"/>
  <c r="J8" i="11" s="1"/>
  <c r="J55" i="11" s="1"/>
  <c r="J5" i="12" s="1"/>
  <c r="J8" i="12" s="1"/>
  <c r="J55" i="12" s="1"/>
  <c r="J5" i="13" s="1"/>
  <c r="J8" i="13" s="1"/>
  <c r="J55" i="13" s="1"/>
  <c r="J5" i="14" s="1"/>
  <c r="J8" i="14" s="1"/>
  <c r="J55" i="14" s="1"/>
  <c r="J5" i="15" s="1"/>
  <c r="J8" i="15" s="1"/>
  <c r="J55" i="15" s="1"/>
  <c r="J5" i="16" s="1"/>
  <c r="J8" i="16" s="1"/>
  <c r="J55" i="16" s="1"/>
  <c r="J5" i="17" s="1"/>
  <c r="J8" i="17" s="1"/>
  <c r="J55" i="17" s="1"/>
  <c r="J5" i="18" s="1"/>
  <c r="J8" i="18" s="1"/>
  <c r="J55" i="18" s="1"/>
  <c r="J5" i="19" s="1"/>
  <c r="J8" i="19" s="1"/>
  <c r="J55" i="19" s="1"/>
  <c r="J5" i="20" s="1"/>
  <c r="J8" i="20" s="1"/>
  <c r="J55" i="20" s="1"/>
  <c r="J5" i="21" s="1"/>
  <c r="J8" i="21" s="1"/>
  <c r="J55" i="21" s="1"/>
  <c r="J5" i="22" s="1"/>
  <c r="J8" i="22" s="1"/>
  <c r="J55" i="22" s="1"/>
  <c r="AH55" i="1"/>
  <c r="AT55" i="1"/>
  <c r="AT5" i="2" s="1"/>
  <c r="BR55" i="1"/>
  <c r="BR5" i="2" s="1"/>
  <c r="BR8" i="2" s="1"/>
  <c r="BR55" i="2" s="1"/>
  <c r="BR5" i="3" s="1"/>
  <c r="BR8" i="3" s="1"/>
  <c r="BR55" i="3" s="1"/>
  <c r="BR5" i="4" s="1"/>
  <c r="BR8" i="4" s="1"/>
  <c r="BR55" i="4" s="1"/>
  <c r="BR5" i="5" s="1"/>
  <c r="BR8" i="5" s="1"/>
  <c r="BR55" i="5" s="1"/>
  <c r="BR5" i="6" s="1"/>
  <c r="BR8" i="6" s="1"/>
  <c r="BR55" i="6" s="1"/>
  <c r="BR5" i="7" s="1"/>
  <c r="BR8" i="7" s="1"/>
  <c r="BR55" i="7" s="1"/>
  <c r="BR5" i="8" s="1"/>
  <c r="BR8" i="8" s="1"/>
  <c r="BR55" i="8" s="1"/>
  <c r="BR5" i="9" s="1"/>
  <c r="BR8" i="9" s="1"/>
  <c r="BR55" i="9" s="1"/>
  <c r="BR5" i="10" s="1"/>
  <c r="BR8" i="10" s="1"/>
  <c r="BR55" i="10" s="1"/>
  <c r="BR5" i="11" s="1"/>
  <c r="BR8" i="11" s="1"/>
  <c r="BR55" i="11" s="1"/>
  <c r="BR5" i="12" s="1"/>
  <c r="BR8" i="12" s="1"/>
  <c r="BR55" i="12" s="1"/>
  <c r="BR5" i="13" s="1"/>
  <c r="BR8" i="13" s="1"/>
  <c r="BR55" i="13" s="1"/>
  <c r="BR5" i="14" s="1"/>
  <c r="BR8" i="14" s="1"/>
  <c r="BR55" i="14" s="1"/>
  <c r="BR5" i="15" s="1"/>
  <c r="BR8" i="15" s="1"/>
  <c r="BR55" i="15" s="1"/>
  <c r="BR5" i="16" s="1"/>
  <c r="BR8" i="16" s="1"/>
  <c r="BR55" i="16" s="1"/>
  <c r="BR5" i="17" s="1"/>
  <c r="BR8" i="17" s="1"/>
  <c r="BR55" i="17" s="1"/>
  <c r="BR5" i="18" s="1"/>
  <c r="BR8" i="18" s="1"/>
  <c r="BR55" i="18" s="1"/>
  <c r="BR5" i="19" s="1"/>
  <c r="BR8" i="19" s="1"/>
  <c r="BR55" i="19" s="1"/>
  <c r="BR5" i="20" s="1"/>
  <c r="BR8" i="20" s="1"/>
  <c r="BR55" i="20" s="1"/>
  <c r="BR5" i="21" s="1"/>
  <c r="BR8" i="21" s="1"/>
  <c r="BR55" i="21" s="1"/>
  <c r="BR5" i="22" s="1"/>
  <c r="BR8" i="22" s="1"/>
  <c r="BR55" i="22" s="1"/>
  <c r="CD55" i="1"/>
  <c r="CD5" i="2" s="1"/>
  <c r="CD8" i="2" s="1"/>
  <c r="CD55" i="2" s="1"/>
  <c r="CD5" i="3" s="1"/>
  <c r="CD8" i="3" s="1"/>
  <c r="CD55" i="3" s="1"/>
  <c r="CD5" i="4" s="1"/>
  <c r="CD8" i="4" s="1"/>
  <c r="CD55" i="4" s="1"/>
  <c r="CD5" i="5" s="1"/>
  <c r="CD8" i="5" s="1"/>
  <c r="CD55" i="5" s="1"/>
  <c r="CD5" i="6" s="1"/>
  <c r="CD8" i="6" s="1"/>
  <c r="CD55" i="6" s="1"/>
  <c r="CD5" i="7" s="1"/>
  <c r="CD8" i="7" s="1"/>
  <c r="CD55" i="7" s="1"/>
  <c r="CD5" i="8" s="1"/>
  <c r="CD8" i="8" s="1"/>
  <c r="CD55" i="8" s="1"/>
  <c r="CD5" i="9" s="1"/>
  <c r="CD8" i="9" s="1"/>
  <c r="CD55" i="9" s="1"/>
  <c r="CD5" i="10" s="1"/>
  <c r="CD8" i="10" s="1"/>
  <c r="CD55" i="10" s="1"/>
  <c r="CD5" i="11" s="1"/>
  <c r="CD8" i="11" s="1"/>
  <c r="CD55" i="11" s="1"/>
  <c r="CD5" i="12" s="1"/>
  <c r="CD8" i="12" s="1"/>
  <c r="CD55" i="12" s="1"/>
  <c r="CD5" i="13" s="1"/>
  <c r="CD8" i="13" s="1"/>
  <c r="CD55" i="13" s="1"/>
  <c r="CD5" i="14" s="1"/>
  <c r="CD8" i="14" s="1"/>
  <c r="CD55" i="14" s="1"/>
  <c r="CD5" i="15" s="1"/>
  <c r="CD8" i="15" s="1"/>
  <c r="CD55" i="15" s="1"/>
  <c r="CD5" i="16" s="1"/>
  <c r="CD8" i="16" s="1"/>
  <c r="CD55" i="16" s="1"/>
  <c r="CD5" i="17" s="1"/>
  <c r="CD8" i="17" s="1"/>
  <c r="CD55" i="17" s="1"/>
  <c r="CD5" i="18" s="1"/>
  <c r="CD8" i="18" s="1"/>
  <c r="CD55" i="18" s="1"/>
  <c r="CD5" i="19" s="1"/>
  <c r="CD8" i="19" s="1"/>
  <c r="CD55" i="19" s="1"/>
  <c r="CD5" i="20" s="1"/>
  <c r="CD8" i="20" s="1"/>
  <c r="CD55" i="20" s="1"/>
  <c r="CD5" i="21" s="1"/>
  <c r="CD8" i="21" s="1"/>
  <c r="CD55" i="21" s="1"/>
  <c r="CD5" i="22" s="1"/>
  <c r="CD8" i="22" s="1"/>
  <c r="CD55" i="22" s="1"/>
  <c r="CP55" i="1"/>
  <c r="CP5" i="2" s="1"/>
  <c r="CP8" i="2" s="1"/>
  <c r="CP55" i="2" s="1"/>
  <c r="CP5" i="3" s="1"/>
  <c r="CP8" i="3" s="1"/>
  <c r="CP55" i="3" s="1"/>
  <c r="CP5" i="4" s="1"/>
  <c r="CP8" i="4" s="1"/>
  <c r="CP55" i="4" s="1"/>
  <c r="CP5" i="5" s="1"/>
  <c r="CP8" i="5" s="1"/>
  <c r="CP55" i="5" s="1"/>
  <c r="CP5" i="6" s="1"/>
  <c r="CP8" i="6" s="1"/>
  <c r="CP55" i="6" s="1"/>
  <c r="CP5" i="7" s="1"/>
  <c r="CP8" i="7" s="1"/>
  <c r="CP55" i="7" s="1"/>
  <c r="CP5" i="8" s="1"/>
  <c r="CP8" i="8" s="1"/>
  <c r="CP55" i="8" s="1"/>
  <c r="CP5" i="9" s="1"/>
  <c r="CP8" i="9" s="1"/>
  <c r="CP55" i="9" s="1"/>
  <c r="CP5" i="10" s="1"/>
  <c r="CP8" i="10" s="1"/>
  <c r="CP55" i="10" s="1"/>
  <c r="CP5" i="11" s="1"/>
  <c r="CP8" i="11" s="1"/>
  <c r="CP55" i="11" s="1"/>
  <c r="CP5" i="12" s="1"/>
  <c r="CP8" i="12" s="1"/>
  <c r="CP55" i="12" s="1"/>
  <c r="CP5" i="13" s="1"/>
  <c r="CP8" i="13" s="1"/>
  <c r="CP55" i="13" s="1"/>
  <c r="CP5" i="14" s="1"/>
  <c r="CP8" i="14" s="1"/>
  <c r="CP55" i="14" s="1"/>
  <c r="CP5" i="15" s="1"/>
  <c r="CP8" i="15" s="1"/>
  <c r="CP55" i="15" s="1"/>
  <c r="CP5" i="16" s="1"/>
  <c r="CP8" i="16" s="1"/>
  <c r="CP55" i="16" s="1"/>
  <c r="CP5" i="17" s="1"/>
  <c r="CP8" i="17" s="1"/>
  <c r="CP55" i="17" s="1"/>
  <c r="CP5" i="18" s="1"/>
  <c r="CP8" i="18" s="1"/>
  <c r="CP55" i="18" s="1"/>
  <c r="CP5" i="19" s="1"/>
  <c r="CP8" i="19" s="1"/>
  <c r="CP55" i="19" s="1"/>
  <c r="CP5" i="20" s="1"/>
  <c r="CP8" i="20" s="1"/>
  <c r="CP55" i="20" s="1"/>
  <c r="CP5" i="21" s="1"/>
  <c r="CP8" i="21" s="1"/>
  <c r="CP55" i="21" s="1"/>
  <c r="CP5" i="22" s="1"/>
  <c r="CP8" i="22" s="1"/>
  <c r="CP55" i="22" s="1"/>
  <c r="BC54" i="1"/>
  <c r="J110" i="1"/>
  <c r="BZ55" i="1"/>
  <c r="BZ5" i="2" s="1"/>
  <c r="BZ8" i="2" s="1"/>
  <c r="BZ55" i="2" s="1"/>
  <c r="BZ5" i="3" s="1"/>
  <c r="BZ8" i="3" s="1"/>
  <c r="BZ55" i="3" s="1"/>
  <c r="BZ5" i="4" s="1"/>
  <c r="BZ8" i="4" s="1"/>
  <c r="BZ55" i="4" s="1"/>
  <c r="BZ5" i="5" s="1"/>
  <c r="BZ8" i="5" s="1"/>
  <c r="BZ55" i="5" s="1"/>
  <c r="BZ5" i="6" s="1"/>
  <c r="BZ8" i="6" s="1"/>
  <c r="BZ55" i="6" s="1"/>
  <c r="BZ5" i="7" s="1"/>
  <c r="BZ8" i="7" s="1"/>
  <c r="BZ55" i="7" s="1"/>
  <c r="BZ5" i="8" s="1"/>
  <c r="BZ8" i="8" s="1"/>
  <c r="BZ55" i="8" s="1"/>
  <c r="BZ5" i="9" s="1"/>
  <c r="BZ8" i="9" s="1"/>
  <c r="BZ55" i="9" s="1"/>
  <c r="BZ5" i="10" s="1"/>
  <c r="BZ8" i="10" s="1"/>
  <c r="BZ55" i="10" s="1"/>
  <c r="BZ5" i="11" s="1"/>
  <c r="BZ8" i="11" s="1"/>
  <c r="BZ55" i="11" s="1"/>
  <c r="BZ5" i="12" s="1"/>
  <c r="BZ8" i="12" s="1"/>
  <c r="BZ55" i="12" s="1"/>
  <c r="BZ5" i="13" s="1"/>
  <c r="BZ8" i="13" s="1"/>
  <c r="BZ55" i="13" s="1"/>
  <c r="BZ5" i="14" s="1"/>
  <c r="BZ8" i="14" s="1"/>
  <c r="BZ55" i="14" s="1"/>
  <c r="BZ5" i="15" s="1"/>
  <c r="BZ8" i="15" s="1"/>
  <c r="BZ55" i="15" s="1"/>
  <c r="BZ5" i="16" s="1"/>
  <c r="BZ8" i="16" s="1"/>
  <c r="BZ55" i="16" s="1"/>
  <c r="BZ5" i="17" s="1"/>
  <c r="BZ8" i="17" s="1"/>
  <c r="BZ55" i="17" s="1"/>
  <c r="BZ5" i="18" s="1"/>
  <c r="BZ8" i="18" s="1"/>
  <c r="BZ55" i="18" s="1"/>
  <c r="BZ5" i="19" s="1"/>
  <c r="BZ8" i="19" s="1"/>
  <c r="BZ55" i="19" s="1"/>
  <c r="BZ5" i="20" s="1"/>
  <c r="BZ8" i="20" s="1"/>
  <c r="BZ55" i="20" s="1"/>
  <c r="BZ5" i="21" s="1"/>
  <c r="BZ8" i="21" s="1"/>
  <c r="BZ55" i="21" s="1"/>
  <c r="BZ5" i="22" s="1"/>
  <c r="BZ8" i="22" s="1"/>
  <c r="BZ55" i="22" s="1"/>
  <c r="V55" i="1"/>
  <c r="BD54" i="1"/>
  <c r="CA54" i="1"/>
  <c r="CA55" i="1" s="1"/>
  <c r="CA5" i="2" s="1"/>
  <c r="CA8" i="2" s="1"/>
  <c r="CA55" i="2" s="1"/>
  <c r="CA5" i="3" s="1"/>
  <c r="CA8" i="3" s="1"/>
  <c r="CA55" i="3" s="1"/>
  <c r="CA5" i="4" s="1"/>
  <c r="CA8" i="4" s="1"/>
  <c r="CA55" i="4" s="1"/>
  <c r="CA5" i="5" s="1"/>
  <c r="CA8" i="5" s="1"/>
  <c r="CA55" i="5" s="1"/>
  <c r="CA5" i="6" s="1"/>
  <c r="CA8" i="6" s="1"/>
  <c r="CA55" i="6" s="1"/>
  <c r="CA5" i="7" s="1"/>
  <c r="CA8" i="7" s="1"/>
  <c r="CA55" i="7" s="1"/>
  <c r="CA5" i="8" s="1"/>
  <c r="CA8" i="8" s="1"/>
  <c r="CA55" i="8" s="1"/>
  <c r="CA5" i="9" s="1"/>
  <c r="CA8" i="9" s="1"/>
  <c r="CA55" i="9" s="1"/>
  <c r="CA5" i="10" s="1"/>
  <c r="CA8" i="10" s="1"/>
  <c r="CA55" i="10" s="1"/>
  <c r="CA5" i="11" s="1"/>
  <c r="CA8" i="11" s="1"/>
  <c r="CA55" i="11" s="1"/>
  <c r="CA5" i="12" s="1"/>
  <c r="CA8" i="12" s="1"/>
  <c r="CA55" i="12" s="1"/>
  <c r="CA5" i="13" s="1"/>
  <c r="CA8" i="13" s="1"/>
  <c r="CA55" i="13" s="1"/>
  <c r="CA5" i="14" s="1"/>
  <c r="CA8" i="14" s="1"/>
  <c r="CA55" i="14" s="1"/>
  <c r="CA5" i="15" s="1"/>
  <c r="CA8" i="15" s="1"/>
  <c r="CA55" i="15" s="1"/>
  <c r="CA5" i="16" s="1"/>
  <c r="CA8" i="16" s="1"/>
  <c r="CA55" i="16" s="1"/>
  <c r="CA5" i="17" s="1"/>
  <c r="CA8" i="17" s="1"/>
  <c r="CA55" i="17" s="1"/>
  <c r="CA5" i="18" s="1"/>
  <c r="CA8" i="18" s="1"/>
  <c r="CA55" i="18" s="1"/>
  <c r="CA5" i="19" s="1"/>
  <c r="CA8" i="19" s="1"/>
  <c r="CA55" i="19" s="1"/>
  <c r="CA5" i="20" s="1"/>
  <c r="CA8" i="20" s="1"/>
  <c r="CA55" i="20" s="1"/>
  <c r="CA5" i="21" s="1"/>
  <c r="CA8" i="21" s="1"/>
  <c r="CA55" i="21" s="1"/>
  <c r="CA5" i="22" s="1"/>
  <c r="CA8" i="22" s="1"/>
  <c r="CA55" i="22" s="1"/>
  <c r="I108" i="1"/>
  <c r="H109" i="1"/>
  <c r="K110" i="1"/>
  <c r="CW53" i="1"/>
  <c r="AG55" i="1"/>
  <c r="AG5" i="2" s="1"/>
  <c r="AG8" i="2" s="1"/>
  <c r="AG55" i="2" s="1"/>
  <c r="AG5" i="3" s="1"/>
  <c r="AG8" i="3" s="1"/>
  <c r="AG55" i="3" s="1"/>
  <c r="AG5" i="4" s="1"/>
  <c r="AG8" i="4" s="1"/>
  <c r="AG55" i="4" s="1"/>
  <c r="AG5" i="5" s="1"/>
  <c r="AG8" i="5" s="1"/>
  <c r="AG55" i="5" s="1"/>
  <c r="AG5" i="6" s="1"/>
  <c r="AG8" i="6" s="1"/>
  <c r="AG55" i="6" s="1"/>
  <c r="AG5" i="7" s="1"/>
  <c r="AG8" i="7" s="1"/>
  <c r="AG55" i="7" s="1"/>
  <c r="AG5" i="8" s="1"/>
  <c r="AG8" i="8" s="1"/>
  <c r="AG55" i="8" s="1"/>
  <c r="AG5" i="9" s="1"/>
  <c r="AG8" i="9" s="1"/>
  <c r="AG55" i="9" s="1"/>
  <c r="AG5" i="10" s="1"/>
  <c r="AG8" i="10" s="1"/>
  <c r="AG55" i="10" s="1"/>
  <c r="AG5" i="11" s="1"/>
  <c r="AG8" i="11" s="1"/>
  <c r="AG55" i="11" s="1"/>
  <c r="AG5" i="12" s="1"/>
  <c r="AG8" i="12" s="1"/>
  <c r="AG55" i="12" s="1"/>
  <c r="AG5" i="13" s="1"/>
  <c r="AG8" i="13" s="1"/>
  <c r="AG55" i="13" s="1"/>
  <c r="AG5" i="14" s="1"/>
  <c r="AG8" i="14" s="1"/>
  <c r="AG55" i="14" s="1"/>
  <c r="AG5" i="15" s="1"/>
  <c r="AG8" i="15" s="1"/>
  <c r="AG55" i="15" s="1"/>
  <c r="AG5" i="16" s="1"/>
  <c r="AG8" i="16" s="1"/>
  <c r="AG55" i="16" s="1"/>
  <c r="AG5" i="17" s="1"/>
  <c r="AG8" i="17" s="1"/>
  <c r="AG55" i="17" s="1"/>
  <c r="AG5" i="18" s="1"/>
  <c r="AG8" i="18" s="1"/>
  <c r="AG55" i="18" s="1"/>
  <c r="AG5" i="19" s="1"/>
  <c r="AG8" i="19" s="1"/>
  <c r="AG55" i="19" s="1"/>
  <c r="AG5" i="20" s="1"/>
  <c r="AG8" i="20" s="1"/>
  <c r="AG55" i="20" s="1"/>
  <c r="AG5" i="21" s="1"/>
  <c r="AG8" i="21" s="1"/>
  <c r="AG55" i="21" s="1"/>
  <c r="AG5" i="22" s="1"/>
  <c r="AG8" i="22" s="1"/>
  <c r="AG55" i="22" s="1"/>
  <c r="Y55" i="1"/>
  <c r="Y5" i="2" s="1"/>
  <c r="Y8" i="2" s="1"/>
  <c r="Y55" i="2" s="1"/>
  <c r="Y5" i="3" s="1"/>
  <c r="Y8" i="3" s="1"/>
  <c r="Y55" i="3" s="1"/>
  <c r="Y5" i="4" s="1"/>
  <c r="Y8" i="4" s="1"/>
  <c r="Y55" i="4" s="1"/>
  <c r="Y5" i="5" s="1"/>
  <c r="Y8" i="5" s="1"/>
  <c r="Y55" i="5" s="1"/>
  <c r="Y5" i="6" s="1"/>
  <c r="Y8" i="6" s="1"/>
  <c r="Y55" i="6" s="1"/>
  <c r="Y5" i="7" s="1"/>
  <c r="Y8" i="7" s="1"/>
  <c r="Y55" i="7" s="1"/>
  <c r="Y5" i="8" s="1"/>
  <c r="Y8" i="8" s="1"/>
  <c r="Y55" i="8" s="1"/>
  <c r="Y5" i="9" s="1"/>
  <c r="Y8" i="9" s="1"/>
  <c r="Y55" i="9" s="1"/>
  <c r="Y5" i="10" s="1"/>
  <c r="Y8" i="10" s="1"/>
  <c r="Y55" i="10" s="1"/>
  <c r="Y5" i="11" s="1"/>
  <c r="Y8" i="11" s="1"/>
  <c r="Y55" i="11" s="1"/>
  <c r="Y5" i="12" s="1"/>
  <c r="Y8" i="12" s="1"/>
  <c r="Y55" i="12" s="1"/>
  <c r="Y5" i="13" s="1"/>
  <c r="Y8" i="13" s="1"/>
  <c r="Y55" i="13" s="1"/>
  <c r="Y5" i="14" s="1"/>
  <c r="Y8" i="14" s="1"/>
  <c r="Y55" i="14" s="1"/>
  <c r="Y5" i="15" s="1"/>
  <c r="Y8" i="15" s="1"/>
  <c r="Y55" i="15" s="1"/>
  <c r="Y5" i="16" s="1"/>
  <c r="Y8" i="16" s="1"/>
  <c r="Y55" i="16" s="1"/>
  <c r="Y5" i="17" s="1"/>
  <c r="Y8" i="17" s="1"/>
  <c r="Y55" i="17" s="1"/>
  <c r="Y5" i="18" s="1"/>
  <c r="Y8" i="18" s="1"/>
  <c r="Y55" i="18" s="1"/>
  <c r="Y5" i="19" s="1"/>
  <c r="Y8" i="19" s="1"/>
  <c r="Y55" i="19" s="1"/>
  <c r="Y5" i="20" s="1"/>
  <c r="Y8" i="20" s="1"/>
  <c r="Y55" i="20" s="1"/>
  <c r="Y5" i="21" s="1"/>
  <c r="Y8" i="21" s="1"/>
  <c r="Y55" i="21" s="1"/>
  <c r="Y5" i="22" s="1"/>
  <c r="Y8" i="22" s="1"/>
  <c r="Y55" i="22" s="1"/>
  <c r="BE54" i="1"/>
  <c r="BE55" i="1" s="1"/>
  <c r="BE5" i="2" s="1"/>
  <c r="L105" i="1"/>
  <c r="T55" i="1"/>
  <c r="M96" i="1"/>
  <c r="M94" i="1"/>
  <c r="M97" i="1"/>
  <c r="CG55" i="1"/>
  <c r="CG5" i="2" s="1"/>
  <c r="CG8" i="2" s="1"/>
  <c r="CG55" i="2" s="1"/>
  <c r="CG5" i="3" s="1"/>
  <c r="CG8" i="3" s="1"/>
  <c r="CG55" i="3" s="1"/>
  <c r="CG5" i="4" s="1"/>
  <c r="CG8" i="4" s="1"/>
  <c r="CG55" i="4" s="1"/>
  <c r="CG5" i="5" s="1"/>
  <c r="CG8" i="5" s="1"/>
  <c r="CG55" i="5" s="1"/>
  <c r="CG5" i="6" s="1"/>
  <c r="CG8" i="6" s="1"/>
  <c r="CG55" i="6" s="1"/>
  <c r="CG5" i="7" s="1"/>
  <c r="CG8" i="7" s="1"/>
  <c r="CG55" i="7" s="1"/>
  <c r="CG5" i="8" s="1"/>
  <c r="CG8" i="8" s="1"/>
  <c r="CG55" i="8" s="1"/>
  <c r="CG5" i="9" s="1"/>
  <c r="CG8" i="9" s="1"/>
  <c r="CG55" i="9" s="1"/>
  <c r="CG5" i="10" s="1"/>
  <c r="CG8" i="10" s="1"/>
  <c r="CG55" i="10" s="1"/>
  <c r="CG5" i="11" s="1"/>
  <c r="CG8" i="11" s="1"/>
  <c r="CG55" i="11" s="1"/>
  <c r="CG5" i="12" s="1"/>
  <c r="CG8" i="12" s="1"/>
  <c r="CG55" i="12" s="1"/>
  <c r="CG5" i="13" s="1"/>
  <c r="CG8" i="13" s="1"/>
  <c r="CG55" i="13" s="1"/>
  <c r="CG5" i="14" s="1"/>
  <c r="CG8" i="14" s="1"/>
  <c r="CG55" i="14" s="1"/>
  <c r="CG5" i="15" s="1"/>
  <c r="CG8" i="15" s="1"/>
  <c r="CG55" i="15" s="1"/>
  <c r="CG5" i="16" s="1"/>
  <c r="CG8" i="16" s="1"/>
  <c r="CG55" i="16" s="1"/>
  <c r="CG5" i="17" s="1"/>
  <c r="CG8" i="17" s="1"/>
  <c r="CG55" i="17" s="1"/>
  <c r="CG5" i="18" s="1"/>
  <c r="CG8" i="18" s="1"/>
  <c r="CG55" i="18" s="1"/>
  <c r="CG5" i="19" s="1"/>
  <c r="CG8" i="19" s="1"/>
  <c r="CG55" i="19" s="1"/>
  <c r="CG5" i="20" s="1"/>
  <c r="CG8" i="20" s="1"/>
  <c r="CG55" i="20" s="1"/>
  <c r="CG5" i="21" s="1"/>
  <c r="CG8" i="21" s="1"/>
  <c r="CG55" i="21" s="1"/>
  <c r="CG5" i="22" s="1"/>
  <c r="CG8" i="22" s="1"/>
  <c r="CG55" i="22" s="1"/>
  <c r="BF54" i="1"/>
  <c r="BF55" i="1" s="1"/>
  <c r="BF5" i="2" s="1"/>
  <c r="K108" i="1"/>
  <c r="J109" i="1"/>
  <c r="AP55" i="1"/>
  <c r="AP5" i="2" s="1"/>
  <c r="AP8" i="2" s="1"/>
  <c r="AP55" i="2" s="1"/>
  <c r="AP5" i="3" s="1"/>
  <c r="AP8" i="3" s="1"/>
  <c r="AP55" i="3" s="1"/>
  <c r="AP5" i="4" s="1"/>
  <c r="AP8" i="4" s="1"/>
  <c r="AP55" i="4" s="1"/>
  <c r="AP5" i="5" s="1"/>
  <c r="AP8" i="5" s="1"/>
  <c r="AP55" i="5" s="1"/>
  <c r="AP5" i="6" s="1"/>
  <c r="AP8" i="6" s="1"/>
  <c r="AP55" i="6" s="1"/>
  <c r="AP5" i="7" s="1"/>
  <c r="AP8" i="7" s="1"/>
  <c r="AP55" i="7" s="1"/>
  <c r="AP5" i="8" s="1"/>
  <c r="AP8" i="8" s="1"/>
  <c r="AP55" i="8" s="1"/>
  <c r="AP5" i="9" s="1"/>
  <c r="AP8" i="9" s="1"/>
  <c r="AP55" i="9" s="1"/>
  <c r="AP5" i="10" s="1"/>
  <c r="AP8" i="10" s="1"/>
  <c r="AP55" i="10" s="1"/>
  <c r="AP5" i="11" s="1"/>
  <c r="AP8" i="11" s="1"/>
  <c r="AP55" i="11" s="1"/>
  <c r="AP5" i="12" s="1"/>
  <c r="AP8" i="12" s="1"/>
  <c r="AP55" i="12" s="1"/>
  <c r="AP5" i="13" s="1"/>
  <c r="AP8" i="13" s="1"/>
  <c r="AP55" i="13" s="1"/>
  <c r="AP5" i="14" s="1"/>
  <c r="AP8" i="14" s="1"/>
  <c r="AP55" i="14" s="1"/>
  <c r="AP5" i="15" s="1"/>
  <c r="AP8" i="15" s="1"/>
  <c r="AP55" i="15" s="1"/>
  <c r="AP5" i="16" s="1"/>
  <c r="AP8" i="16" s="1"/>
  <c r="AP55" i="16" s="1"/>
  <c r="AP5" i="17" s="1"/>
  <c r="AP8" i="17" s="1"/>
  <c r="AP55" i="17" s="1"/>
  <c r="AP5" i="18" s="1"/>
  <c r="AP8" i="18" s="1"/>
  <c r="AP55" i="18" s="1"/>
  <c r="AP5" i="19" s="1"/>
  <c r="AP8" i="19" s="1"/>
  <c r="AP55" i="19" s="1"/>
  <c r="AP5" i="20" s="1"/>
  <c r="AP8" i="20" s="1"/>
  <c r="AP55" i="20" s="1"/>
  <c r="AP5" i="21" s="1"/>
  <c r="AP8" i="21" s="1"/>
  <c r="AP55" i="21" s="1"/>
  <c r="AP5" i="22" s="1"/>
  <c r="AP8" i="22" s="1"/>
  <c r="AP55" i="22" s="1"/>
  <c r="BQ55" i="1"/>
  <c r="BQ5" i="2" s="1"/>
  <c r="BQ8" i="2" s="1"/>
  <c r="BQ55" i="2" s="1"/>
  <c r="BQ5" i="3" s="1"/>
  <c r="BQ8" i="3" s="1"/>
  <c r="BQ55" i="3" s="1"/>
  <c r="BQ5" i="4" s="1"/>
  <c r="BQ8" i="4" s="1"/>
  <c r="BQ55" i="4" s="1"/>
  <c r="BQ5" i="5" s="1"/>
  <c r="BQ8" i="5" s="1"/>
  <c r="BQ55" i="5" s="1"/>
  <c r="BQ5" i="6" s="1"/>
  <c r="BQ8" i="6" s="1"/>
  <c r="BQ55" i="6" s="1"/>
  <c r="BQ5" i="7" s="1"/>
  <c r="BQ8" i="7" s="1"/>
  <c r="BQ55" i="7" s="1"/>
  <c r="BQ5" i="8" s="1"/>
  <c r="BQ8" i="8" s="1"/>
  <c r="BQ55" i="8" s="1"/>
  <c r="BQ5" i="9" s="1"/>
  <c r="BQ8" i="9" s="1"/>
  <c r="BQ55" i="9" s="1"/>
  <c r="BQ5" i="10" s="1"/>
  <c r="BQ8" i="10" s="1"/>
  <c r="BQ55" i="10" s="1"/>
  <c r="BQ5" i="11" s="1"/>
  <c r="BQ8" i="11" s="1"/>
  <c r="BQ55" i="11" s="1"/>
  <c r="BQ5" i="12" s="1"/>
  <c r="BQ8" i="12" s="1"/>
  <c r="BQ55" i="12" s="1"/>
  <c r="BQ5" i="13" s="1"/>
  <c r="BQ8" i="13" s="1"/>
  <c r="BQ55" i="13" s="1"/>
  <c r="BQ5" i="14" s="1"/>
  <c r="BQ8" i="14" s="1"/>
  <c r="BQ55" i="14" s="1"/>
  <c r="BQ5" i="15" s="1"/>
  <c r="BQ8" i="15" s="1"/>
  <c r="BQ55" i="15" s="1"/>
  <c r="BQ5" i="16" s="1"/>
  <c r="BQ8" i="16" s="1"/>
  <c r="BQ55" i="16" s="1"/>
  <c r="BQ5" i="17" s="1"/>
  <c r="BQ8" i="17" s="1"/>
  <c r="BQ55" i="17" s="1"/>
  <c r="BQ5" i="18" s="1"/>
  <c r="BQ8" i="18" s="1"/>
  <c r="BQ55" i="18" s="1"/>
  <c r="BQ5" i="19" s="1"/>
  <c r="BQ8" i="19" s="1"/>
  <c r="BQ55" i="19" s="1"/>
  <c r="BQ5" i="20" s="1"/>
  <c r="BQ8" i="20" s="1"/>
  <c r="BQ55" i="20" s="1"/>
  <c r="BQ5" i="21" s="1"/>
  <c r="BQ8" i="21" s="1"/>
  <c r="BQ55" i="21" s="1"/>
  <c r="BQ5" i="22" s="1"/>
  <c r="BQ8" i="22" s="1"/>
  <c r="BQ55" i="22" s="1"/>
  <c r="D75" i="1"/>
  <c r="D73" i="1" s="1"/>
  <c r="BI54" i="1"/>
  <c r="H108" i="1"/>
  <c r="M91" i="1"/>
  <c r="BI55" i="1"/>
  <c r="BI5" i="2" s="1"/>
  <c r="BU55" i="1"/>
  <c r="BU5" i="2" s="1"/>
  <c r="BU8" i="2" s="1"/>
  <c r="BU55" i="2" s="1"/>
  <c r="BU5" i="3" s="1"/>
  <c r="BU8" i="3" s="1"/>
  <c r="BU55" i="3" s="1"/>
  <c r="BU5" i="4" s="1"/>
  <c r="BU8" i="4" s="1"/>
  <c r="BU55" i="4" s="1"/>
  <c r="BU5" i="5" s="1"/>
  <c r="BU8" i="5" s="1"/>
  <c r="BU55" i="5" s="1"/>
  <c r="BU5" i="6" s="1"/>
  <c r="BU8" i="6" s="1"/>
  <c r="BU55" i="6" s="1"/>
  <c r="BU5" i="7" s="1"/>
  <c r="BU8" i="7" s="1"/>
  <c r="BU55" i="7" s="1"/>
  <c r="BU5" i="8" s="1"/>
  <c r="BU8" i="8" s="1"/>
  <c r="BU55" i="8" s="1"/>
  <c r="BU5" i="9" s="1"/>
  <c r="BU8" i="9" s="1"/>
  <c r="BU55" i="9" s="1"/>
  <c r="BU5" i="10" s="1"/>
  <c r="BU8" i="10" s="1"/>
  <c r="BU55" i="10" s="1"/>
  <c r="BU5" i="11" s="1"/>
  <c r="BU8" i="11" s="1"/>
  <c r="BU55" i="11" s="1"/>
  <c r="BU5" i="12" s="1"/>
  <c r="BU8" i="12" s="1"/>
  <c r="BU55" i="12" s="1"/>
  <c r="BU5" i="13" s="1"/>
  <c r="BU8" i="13" s="1"/>
  <c r="BU55" i="13" s="1"/>
  <c r="BU5" i="14" s="1"/>
  <c r="BU8" i="14" s="1"/>
  <c r="BU55" i="14" s="1"/>
  <c r="BU5" i="15" s="1"/>
  <c r="BU8" i="15" s="1"/>
  <c r="BU55" i="15" s="1"/>
  <c r="BU5" i="16" s="1"/>
  <c r="BU8" i="16" s="1"/>
  <c r="BU55" i="16" s="1"/>
  <c r="BU5" i="17" s="1"/>
  <c r="BU8" i="17" s="1"/>
  <c r="BU55" i="17" s="1"/>
  <c r="BU5" i="18" s="1"/>
  <c r="BU8" i="18" s="1"/>
  <c r="BU55" i="18" s="1"/>
  <c r="BU5" i="19" s="1"/>
  <c r="BU8" i="19" s="1"/>
  <c r="BU55" i="19" s="1"/>
  <c r="BU5" i="20" s="1"/>
  <c r="BU8" i="20" s="1"/>
  <c r="BU55" i="20" s="1"/>
  <c r="BU5" i="21" s="1"/>
  <c r="BU8" i="21" s="1"/>
  <c r="BU55" i="21" s="1"/>
  <c r="BU5" i="22" s="1"/>
  <c r="BU8" i="22" s="1"/>
  <c r="BU55" i="22" s="1"/>
  <c r="CC55" i="1"/>
  <c r="CC5" i="2" s="1"/>
  <c r="CC8" i="2" s="1"/>
  <c r="CC55" i="2" s="1"/>
  <c r="CC5" i="3" s="1"/>
  <c r="CC8" i="3" s="1"/>
  <c r="CC55" i="3" s="1"/>
  <c r="CC5" i="4" s="1"/>
  <c r="CC8" i="4" s="1"/>
  <c r="CC55" i="4" s="1"/>
  <c r="CC5" i="5" s="1"/>
  <c r="CC8" i="5" s="1"/>
  <c r="CC55" i="5" s="1"/>
  <c r="CC5" i="6" s="1"/>
  <c r="CC8" i="6" s="1"/>
  <c r="CC55" i="6" s="1"/>
  <c r="CC5" i="7" s="1"/>
  <c r="CC8" i="7" s="1"/>
  <c r="CC55" i="7" s="1"/>
  <c r="CC5" i="8" s="1"/>
  <c r="CC8" i="8" s="1"/>
  <c r="CC55" i="8" s="1"/>
  <c r="CC5" i="9" s="1"/>
  <c r="CC8" i="9" s="1"/>
  <c r="CC55" i="9" s="1"/>
  <c r="CC5" i="10" s="1"/>
  <c r="CC8" i="10" s="1"/>
  <c r="CC55" i="10" s="1"/>
  <c r="CC5" i="11" s="1"/>
  <c r="CC8" i="11" s="1"/>
  <c r="CC55" i="11" s="1"/>
  <c r="CC5" i="12" s="1"/>
  <c r="CC8" i="12" s="1"/>
  <c r="CC55" i="12" s="1"/>
  <c r="CC5" i="13" s="1"/>
  <c r="CC8" i="13" s="1"/>
  <c r="CC55" i="13" s="1"/>
  <c r="CC5" i="14" s="1"/>
  <c r="CC8" i="14" s="1"/>
  <c r="CC55" i="14" s="1"/>
  <c r="CC5" i="15" s="1"/>
  <c r="CC8" i="15" s="1"/>
  <c r="CC55" i="15" s="1"/>
  <c r="CC5" i="16" s="1"/>
  <c r="CC8" i="16" s="1"/>
  <c r="CC55" i="16" s="1"/>
  <c r="CC5" i="17" s="1"/>
  <c r="CC8" i="17" s="1"/>
  <c r="CC55" i="17" s="1"/>
  <c r="CC5" i="18" s="1"/>
  <c r="CC8" i="18" s="1"/>
  <c r="CC55" i="18" s="1"/>
  <c r="CC5" i="19" s="1"/>
  <c r="CC8" i="19" s="1"/>
  <c r="CC55" i="19" s="1"/>
  <c r="CC5" i="20" s="1"/>
  <c r="CC8" i="20" s="1"/>
  <c r="CC55" i="20" s="1"/>
  <c r="CC5" i="21" s="1"/>
  <c r="CC8" i="21" s="1"/>
  <c r="CC55" i="21" s="1"/>
  <c r="CC5" i="22" s="1"/>
  <c r="CC8" i="22" s="1"/>
  <c r="CC55" i="22" s="1"/>
  <c r="AR54" i="1"/>
  <c r="AR55" i="1" s="1"/>
  <c r="AR5" i="2" s="1"/>
  <c r="J108" i="1"/>
  <c r="CL55" i="1"/>
  <c r="CL5" i="2" s="1"/>
  <c r="CL8" i="2" s="1"/>
  <c r="CL55" i="2" s="1"/>
  <c r="CL5" i="3" s="1"/>
  <c r="CL8" i="3" s="1"/>
  <c r="CL55" i="3" s="1"/>
  <c r="CL5" i="4" s="1"/>
  <c r="CL8" i="4" s="1"/>
  <c r="CL55" i="4" s="1"/>
  <c r="CL5" i="5" s="1"/>
  <c r="CL8" i="5" s="1"/>
  <c r="CL55" i="5" s="1"/>
  <c r="CL5" i="6" s="1"/>
  <c r="CL8" i="6" s="1"/>
  <c r="CL55" i="6" s="1"/>
  <c r="CL5" i="7" s="1"/>
  <c r="CL8" i="7" s="1"/>
  <c r="CL55" i="7" s="1"/>
  <c r="CL5" i="8" s="1"/>
  <c r="CL8" i="8" s="1"/>
  <c r="CL55" i="8" s="1"/>
  <c r="CL5" i="9" s="1"/>
  <c r="CL8" i="9" s="1"/>
  <c r="CL55" i="9" s="1"/>
  <c r="CL5" i="10" s="1"/>
  <c r="CL8" i="10" s="1"/>
  <c r="CL55" i="10" s="1"/>
  <c r="CL5" i="11" s="1"/>
  <c r="CL8" i="11" s="1"/>
  <c r="CL55" i="11" s="1"/>
  <c r="CL5" i="12" s="1"/>
  <c r="CL8" i="12" s="1"/>
  <c r="CL55" i="12" s="1"/>
  <c r="CL5" i="13" s="1"/>
  <c r="CL8" i="13" s="1"/>
  <c r="CL55" i="13" s="1"/>
  <c r="CL5" i="14" s="1"/>
  <c r="CL8" i="14" s="1"/>
  <c r="CL55" i="14" s="1"/>
  <c r="CL5" i="15" s="1"/>
  <c r="CL8" i="15" s="1"/>
  <c r="CL55" i="15" s="1"/>
  <c r="CL5" i="16" s="1"/>
  <c r="CL8" i="16" s="1"/>
  <c r="CL55" i="16" s="1"/>
  <c r="CL5" i="17" s="1"/>
  <c r="CL8" i="17" s="1"/>
  <c r="CL55" i="17" s="1"/>
  <c r="CL5" i="18" s="1"/>
  <c r="CL8" i="18" s="1"/>
  <c r="CL55" i="18" s="1"/>
  <c r="CL5" i="19" s="1"/>
  <c r="CL8" i="19" s="1"/>
  <c r="CL55" i="19" s="1"/>
  <c r="CL5" i="20" s="1"/>
  <c r="CL8" i="20" s="1"/>
  <c r="CL55" i="20" s="1"/>
  <c r="CL5" i="21" s="1"/>
  <c r="CL8" i="21" s="1"/>
  <c r="CL55" i="21" s="1"/>
  <c r="CL5" i="22" s="1"/>
  <c r="CL8" i="22" s="1"/>
  <c r="CL55" i="22" s="1"/>
  <c r="BX55" i="1"/>
  <c r="BX5" i="2" s="1"/>
  <c r="BX8" i="2" s="1"/>
  <c r="BX55" i="2" s="1"/>
  <c r="BX5" i="3" s="1"/>
  <c r="BX8" i="3" s="1"/>
  <c r="BX55" i="3" s="1"/>
  <c r="BX5" i="4" s="1"/>
  <c r="BX8" i="4" s="1"/>
  <c r="BX55" i="4" s="1"/>
  <c r="BX5" i="5" s="1"/>
  <c r="BX8" i="5" s="1"/>
  <c r="BX55" i="5" s="1"/>
  <c r="BX5" i="6" s="1"/>
  <c r="BX8" i="6" s="1"/>
  <c r="BX55" i="6" s="1"/>
  <c r="BX5" i="7" s="1"/>
  <c r="BX8" i="7" s="1"/>
  <c r="BX55" i="7" s="1"/>
  <c r="BX5" i="8" s="1"/>
  <c r="BX8" i="8" s="1"/>
  <c r="BX55" i="8" s="1"/>
  <c r="BX5" i="9" s="1"/>
  <c r="BX8" i="9" s="1"/>
  <c r="BX55" i="9" s="1"/>
  <c r="BX5" i="10" s="1"/>
  <c r="BX8" i="10" s="1"/>
  <c r="BX55" i="10" s="1"/>
  <c r="BX5" i="11" s="1"/>
  <c r="BX8" i="11" s="1"/>
  <c r="BX55" i="11" s="1"/>
  <c r="BX5" i="12" s="1"/>
  <c r="BX8" i="12" s="1"/>
  <c r="BX55" i="12" s="1"/>
  <c r="BX5" i="13" s="1"/>
  <c r="BX8" i="13" s="1"/>
  <c r="BX55" i="13" s="1"/>
  <c r="BX5" i="14" s="1"/>
  <c r="BX8" i="14" s="1"/>
  <c r="BX55" i="14" s="1"/>
  <c r="BX5" i="15" s="1"/>
  <c r="BX8" i="15" s="1"/>
  <c r="BX55" i="15" s="1"/>
  <c r="BX5" i="16" s="1"/>
  <c r="BX8" i="16" s="1"/>
  <c r="BX55" i="16" s="1"/>
  <c r="BX5" i="17" s="1"/>
  <c r="BX8" i="17" s="1"/>
  <c r="BX55" i="17" s="1"/>
  <c r="BX5" i="18" s="1"/>
  <c r="BX8" i="18" s="1"/>
  <c r="BX55" i="18" s="1"/>
  <c r="BX5" i="19" s="1"/>
  <c r="BX8" i="19" s="1"/>
  <c r="BX55" i="19" s="1"/>
  <c r="BX5" i="20" s="1"/>
  <c r="BX8" i="20" s="1"/>
  <c r="BX55" i="20" s="1"/>
  <c r="BX5" i="21" s="1"/>
  <c r="BX8" i="21" s="1"/>
  <c r="BX55" i="21" s="1"/>
  <c r="BX5" i="22" s="1"/>
  <c r="BX8" i="22" s="1"/>
  <c r="BX55" i="22" s="1"/>
  <c r="BY55" i="1"/>
  <c r="BY5" i="2" s="1"/>
  <c r="BY8" i="2" s="1"/>
  <c r="BY55" i="2" s="1"/>
  <c r="BY5" i="3" s="1"/>
  <c r="BY8" i="3" s="1"/>
  <c r="BY55" i="3" s="1"/>
  <c r="BY5" i="4" s="1"/>
  <c r="BY8" i="4" s="1"/>
  <c r="BY55" i="4" s="1"/>
  <c r="BY5" i="5" s="1"/>
  <c r="BY8" i="5" s="1"/>
  <c r="BY55" i="5" s="1"/>
  <c r="BY5" i="6" s="1"/>
  <c r="BY8" i="6" s="1"/>
  <c r="BY55" i="6" s="1"/>
  <c r="BY5" i="7" s="1"/>
  <c r="BY8" i="7" s="1"/>
  <c r="BY55" i="7" s="1"/>
  <c r="BY5" i="8" s="1"/>
  <c r="BY8" i="8" s="1"/>
  <c r="BY55" i="8" s="1"/>
  <c r="BY5" i="9" s="1"/>
  <c r="BY8" i="9" s="1"/>
  <c r="BY55" i="9" s="1"/>
  <c r="BY5" i="10" s="1"/>
  <c r="BY8" i="10" s="1"/>
  <c r="BY55" i="10" s="1"/>
  <c r="BY5" i="11" s="1"/>
  <c r="BY8" i="11" s="1"/>
  <c r="BY55" i="11" s="1"/>
  <c r="BY5" i="12" s="1"/>
  <c r="BY8" i="12" s="1"/>
  <c r="BY55" i="12" s="1"/>
  <c r="BY5" i="13" s="1"/>
  <c r="BY8" i="13" s="1"/>
  <c r="BY55" i="13" s="1"/>
  <c r="BY5" i="14" s="1"/>
  <c r="BY8" i="14" s="1"/>
  <c r="BY55" i="14" s="1"/>
  <c r="BY5" i="15" s="1"/>
  <c r="BY8" i="15" s="1"/>
  <c r="BY55" i="15" s="1"/>
  <c r="BY5" i="16" s="1"/>
  <c r="BY8" i="16" s="1"/>
  <c r="BY55" i="16" s="1"/>
  <c r="BY5" i="17" s="1"/>
  <c r="BY8" i="17" s="1"/>
  <c r="BY55" i="17" s="1"/>
  <c r="BY5" i="18" s="1"/>
  <c r="BY8" i="18" s="1"/>
  <c r="BY55" i="18" s="1"/>
  <c r="BY5" i="19" s="1"/>
  <c r="BY8" i="19" s="1"/>
  <c r="BY55" i="19" s="1"/>
  <c r="BY5" i="20" s="1"/>
  <c r="BY8" i="20" s="1"/>
  <c r="BY55" i="20" s="1"/>
  <c r="BY5" i="21" s="1"/>
  <c r="BY8" i="21" s="1"/>
  <c r="BY55" i="21" s="1"/>
  <c r="BY5" i="22" s="1"/>
  <c r="BY8" i="22" s="1"/>
  <c r="BY55" i="22" s="1"/>
  <c r="AN55" i="1"/>
  <c r="AN5" i="2" s="1"/>
  <c r="AN8" i="2" s="1"/>
  <c r="AN55" i="2" s="1"/>
  <c r="AN5" i="3" s="1"/>
  <c r="AN8" i="3" s="1"/>
  <c r="AN55" i="3" s="1"/>
  <c r="AN5" i="4" s="1"/>
  <c r="AN8" i="4" s="1"/>
  <c r="AN55" i="4" s="1"/>
  <c r="AN5" i="5" s="1"/>
  <c r="AN8" i="5" s="1"/>
  <c r="AN55" i="5" s="1"/>
  <c r="AN5" i="6" s="1"/>
  <c r="AN8" i="6" s="1"/>
  <c r="AN55" i="6" s="1"/>
  <c r="AN5" i="7" s="1"/>
  <c r="AN8" i="7" s="1"/>
  <c r="AN55" i="7" s="1"/>
  <c r="AN5" i="8" s="1"/>
  <c r="AN8" i="8" s="1"/>
  <c r="AN55" i="8" s="1"/>
  <c r="AN5" i="9" s="1"/>
  <c r="AN8" i="9" s="1"/>
  <c r="AN55" i="9" s="1"/>
  <c r="AN5" i="10" s="1"/>
  <c r="AN8" i="10" s="1"/>
  <c r="AN55" i="10" s="1"/>
  <c r="AN5" i="11" s="1"/>
  <c r="AN8" i="11" s="1"/>
  <c r="AN55" i="11" s="1"/>
  <c r="AN5" i="12" s="1"/>
  <c r="AN8" i="12" s="1"/>
  <c r="AN55" i="12" s="1"/>
  <c r="AN5" i="13" s="1"/>
  <c r="AN8" i="13" s="1"/>
  <c r="AN55" i="13" s="1"/>
  <c r="AN5" i="14" s="1"/>
  <c r="AN8" i="14" s="1"/>
  <c r="AN55" i="14" s="1"/>
  <c r="AN5" i="15" s="1"/>
  <c r="AN8" i="15" s="1"/>
  <c r="AN55" i="15" s="1"/>
  <c r="AN5" i="16" s="1"/>
  <c r="AN8" i="16" s="1"/>
  <c r="AN55" i="16" s="1"/>
  <c r="AN5" i="17" s="1"/>
  <c r="AN8" i="17" s="1"/>
  <c r="AN55" i="17" s="1"/>
  <c r="AN5" i="18" s="1"/>
  <c r="AN8" i="18" s="1"/>
  <c r="AN55" i="18" s="1"/>
  <c r="AN5" i="19" s="1"/>
  <c r="AN8" i="19" s="1"/>
  <c r="AN55" i="19" s="1"/>
  <c r="AN5" i="20" s="1"/>
  <c r="AN8" i="20" s="1"/>
  <c r="AN55" i="20" s="1"/>
  <c r="AN5" i="21" s="1"/>
  <c r="AN8" i="21" s="1"/>
  <c r="AN55" i="21" s="1"/>
  <c r="AN5" i="22" s="1"/>
  <c r="AN8" i="22" s="1"/>
  <c r="AN55" i="22" s="1"/>
  <c r="Q55" i="1"/>
  <c r="Q5" i="2" s="1"/>
  <c r="Q8" i="2" s="1"/>
  <c r="Q55" i="2" s="1"/>
  <c r="Q5" i="3" s="1"/>
  <c r="Q8" i="3" s="1"/>
  <c r="Q55" i="3" s="1"/>
  <c r="Q5" i="4" s="1"/>
  <c r="Q8" i="4" s="1"/>
  <c r="Q55" i="4" s="1"/>
  <c r="Q5" i="5" s="1"/>
  <c r="Q8" i="5" s="1"/>
  <c r="Q55" i="5" s="1"/>
  <c r="Q5" i="6" s="1"/>
  <c r="Q8" i="6" s="1"/>
  <c r="Q55" i="6" s="1"/>
  <c r="Q5" i="7" s="1"/>
  <c r="Q8" i="7" s="1"/>
  <c r="Q55" i="7" s="1"/>
  <c r="Q5" i="8" s="1"/>
  <c r="Q8" i="8" s="1"/>
  <c r="Q55" i="8" s="1"/>
  <c r="Q5" i="9" s="1"/>
  <c r="Q8" i="9" s="1"/>
  <c r="Q55" i="9" s="1"/>
  <c r="Q5" i="10" s="1"/>
  <c r="Q8" i="10" s="1"/>
  <c r="Q55" i="10" s="1"/>
  <c r="Q5" i="11" s="1"/>
  <c r="Q8" i="11" s="1"/>
  <c r="Q55" i="11" s="1"/>
  <c r="Q5" i="12" s="1"/>
  <c r="Q8" i="12" s="1"/>
  <c r="Q55" i="12" s="1"/>
  <c r="Q5" i="13" s="1"/>
  <c r="Q8" i="13" s="1"/>
  <c r="Q55" i="13" s="1"/>
  <c r="Q5" i="14" s="1"/>
  <c r="Q8" i="14" s="1"/>
  <c r="Q55" i="14" s="1"/>
  <c r="Q5" i="15" s="1"/>
  <c r="Q8" i="15" s="1"/>
  <c r="Q55" i="15" s="1"/>
  <c r="Q5" i="16" s="1"/>
  <c r="Q8" i="16" s="1"/>
  <c r="Q55" i="16" s="1"/>
  <c r="Q5" i="17" s="1"/>
  <c r="Q8" i="17" s="1"/>
  <c r="Q55" i="17" s="1"/>
  <c r="Q5" i="18" s="1"/>
  <c r="Q8" i="18" s="1"/>
  <c r="Q55" i="18" s="1"/>
  <c r="Q5" i="19" s="1"/>
  <c r="Q8" i="19" s="1"/>
  <c r="Q55" i="19" s="1"/>
  <c r="Q5" i="20" s="1"/>
  <c r="Q8" i="20" s="1"/>
  <c r="Q55" i="20" s="1"/>
  <c r="Q5" i="21" s="1"/>
  <c r="Q8" i="21" s="1"/>
  <c r="Q55" i="21" s="1"/>
  <c r="Q5" i="22" s="1"/>
  <c r="Q8" i="22" s="1"/>
  <c r="Q55" i="22" s="1"/>
  <c r="N55" i="1"/>
  <c r="Z55" i="1"/>
  <c r="AL55" i="1"/>
  <c r="AL5" i="2" s="1"/>
  <c r="AL8" i="2" s="1"/>
  <c r="AL55" i="2" s="1"/>
  <c r="AL5" i="3" s="1"/>
  <c r="AL8" i="3" s="1"/>
  <c r="AL55" i="3" s="1"/>
  <c r="AL5" i="4" s="1"/>
  <c r="AL8" i="4" s="1"/>
  <c r="AL55" i="4" s="1"/>
  <c r="AL5" i="5" s="1"/>
  <c r="AL8" i="5" s="1"/>
  <c r="AL55" i="5" s="1"/>
  <c r="AL5" i="6" s="1"/>
  <c r="AL8" i="6" s="1"/>
  <c r="AL55" i="6" s="1"/>
  <c r="AL5" i="7" s="1"/>
  <c r="AL8" i="7" s="1"/>
  <c r="AL55" i="7" s="1"/>
  <c r="AL5" i="8" s="1"/>
  <c r="AL8" i="8" s="1"/>
  <c r="AL55" i="8" s="1"/>
  <c r="AL5" i="9" s="1"/>
  <c r="AL8" i="9" s="1"/>
  <c r="AL55" i="9" s="1"/>
  <c r="AL5" i="10" s="1"/>
  <c r="AL8" i="10" s="1"/>
  <c r="AL55" i="10" s="1"/>
  <c r="AL5" i="11" s="1"/>
  <c r="AL8" i="11" s="1"/>
  <c r="AL55" i="11" s="1"/>
  <c r="AL5" i="12" s="1"/>
  <c r="AL8" i="12" s="1"/>
  <c r="AL55" i="12" s="1"/>
  <c r="AL5" i="13" s="1"/>
  <c r="AL8" i="13" s="1"/>
  <c r="AL55" i="13" s="1"/>
  <c r="AL5" i="14" s="1"/>
  <c r="AL8" i="14" s="1"/>
  <c r="AL55" i="14" s="1"/>
  <c r="AL5" i="15" s="1"/>
  <c r="AL8" i="15" s="1"/>
  <c r="AL55" i="15" s="1"/>
  <c r="AL5" i="16" s="1"/>
  <c r="AL8" i="16" s="1"/>
  <c r="AL55" i="16" s="1"/>
  <c r="AL5" i="17" s="1"/>
  <c r="AL8" i="17" s="1"/>
  <c r="AL55" i="17" s="1"/>
  <c r="AL5" i="18" s="1"/>
  <c r="AL8" i="18" s="1"/>
  <c r="AL55" i="18" s="1"/>
  <c r="AL5" i="19" s="1"/>
  <c r="AL8" i="19" s="1"/>
  <c r="AL55" i="19" s="1"/>
  <c r="AL5" i="20" s="1"/>
  <c r="AL8" i="20" s="1"/>
  <c r="AL55" i="20" s="1"/>
  <c r="AL5" i="21" s="1"/>
  <c r="AL8" i="21" s="1"/>
  <c r="AL55" i="21" s="1"/>
  <c r="AL5" i="22" s="1"/>
  <c r="AL8" i="22" s="1"/>
  <c r="AL55" i="22" s="1"/>
  <c r="AX55" i="1"/>
  <c r="AX5" i="2" s="1"/>
  <c r="BJ55" i="1"/>
  <c r="BJ5" i="2" s="1"/>
  <c r="BV55" i="1"/>
  <c r="BV5" i="2" s="1"/>
  <c r="BV8" i="2" s="1"/>
  <c r="BV55" i="2" s="1"/>
  <c r="BV5" i="3" s="1"/>
  <c r="BV8" i="3" s="1"/>
  <c r="BV55" i="3" s="1"/>
  <c r="BV5" i="4" s="1"/>
  <c r="BV8" i="4" s="1"/>
  <c r="BV55" i="4" s="1"/>
  <c r="BV5" i="5" s="1"/>
  <c r="BV8" i="5" s="1"/>
  <c r="BV55" i="5" s="1"/>
  <c r="BV5" i="6" s="1"/>
  <c r="BV8" i="6" s="1"/>
  <c r="BV55" i="6" s="1"/>
  <c r="BV5" i="7" s="1"/>
  <c r="BV8" i="7" s="1"/>
  <c r="BV55" i="7" s="1"/>
  <c r="BV5" i="8" s="1"/>
  <c r="BV8" i="8" s="1"/>
  <c r="BV55" i="8" s="1"/>
  <c r="BV5" i="9" s="1"/>
  <c r="BV8" i="9" s="1"/>
  <c r="BV55" i="9" s="1"/>
  <c r="BV5" i="10" s="1"/>
  <c r="BV8" i="10" s="1"/>
  <c r="BV55" i="10" s="1"/>
  <c r="BV5" i="11" s="1"/>
  <c r="BV8" i="11" s="1"/>
  <c r="BV55" i="11" s="1"/>
  <c r="BV5" i="12" s="1"/>
  <c r="BV8" i="12" s="1"/>
  <c r="BV55" i="12" s="1"/>
  <c r="BV5" i="13" s="1"/>
  <c r="BV8" i="13" s="1"/>
  <c r="BV55" i="13" s="1"/>
  <c r="BV5" i="14" s="1"/>
  <c r="BV8" i="14" s="1"/>
  <c r="BV55" i="14" s="1"/>
  <c r="BV5" i="15" s="1"/>
  <c r="BV8" i="15" s="1"/>
  <c r="BV55" i="15" s="1"/>
  <c r="BV5" i="16" s="1"/>
  <c r="BV8" i="16" s="1"/>
  <c r="BV55" i="16" s="1"/>
  <c r="BV5" i="17" s="1"/>
  <c r="BV8" i="17" s="1"/>
  <c r="BV55" i="17" s="1"/>
  <c r="BV5" i="18" s="1"/>
  <c r="BV8" i="18" s="1"/>
  <c r="BV55" i="18" s="1"/>
  <c r="BV5" i="19" s="1"/>
  <c r="BV8" i="19" s="1"/>
  <c r="BV55" i="19" s="1"/>
  <c r="BV5" i="20" s="1"/>
  <c r="BV8" i="20" s="1"/>
  <c r="BV55" i="20" s="1"/>
  <c r="BV5" i="21" s="1"/>
  <c r="BV8" i="21" s="1"/>
  <c r="BV55" i="21" s="1"/>
  <c r="BV5" i="22" s="1"/>
  <c r="BV8" i="22" s="1"/>
  <c r="BV55" i="22" s="1"/>
  <c r="CH55" i="1"/>
  <c r="CH5" i="2" s="1"/>
  <c r="CH8" i="2" s="1"/>
  <c r="CH55" i="2" s="1"/>
  <c r="CH5" i="3" s="1"/>
  <c r="CH8" i="3" s="1"/>
  <c r="CH55" i="3" s="1"/>
  <c r="CH5" i="4" s="1"/>
  <c r="CH8" i="4" s="1"/>
  <c r="CH55" i="4" s="1"/>
  <c r="CH5" i="5" s="1"/>
  <c r="CH8" i="5" s="1"/>
  <c r="CH55" i="5" s="1"/>
  <c r="CH5" i="6" s="1"/>
  <c r="CH8" i="6" s="1"/>
  <c r="CH55" i="6" s="1"/>
  <c r="CH5" i="7" s="1"/>
  <c r="CH8" i="7" s="1"/>
  <c r="CH55" i="7" s="1"/>
  <c r="CH5" i="8" s="1"/>
  <c r="CH8" i="8" s="1"/>
  <c r="CH55" i="8" s="1"/>
  <c r="CH5" i="9" s="1"/>
  <c r="CH8" i="9" s="1"/>
  <c r="CH55" i="9" s="1"/>
  <c r="CH5" i="10" s="1"/>
  <c r="CH8" i="10" s="1"/>
  <c r="CH55" i="10" s="1"/>
  <c r="CH5" i="11" s="1"/>
  <c r="CH8" i="11" s="1"/>
  <c r="CH55" i="11" s="1"/>
  <c r="CH5" i="12" s="1"/>
  <c r="CH8" i="12" s="1"/>
  <c r="CH55" i="12" s="1"/>
  <c r="CH5" i="13" s="1"/>
  <c r="CH8" i="13" s="1"/>
  <c r="CH55" i="13" s="1"/>
  <c r="CH5" i="14" s="1"/>
  <c r="CH8" i="14" s="1"/>
  <c r="CH55" i="14" s="1"/>
  <c r="CH5" i="15" s="1"/>
  <c r="CH8" i="15" s="1"/>
  <c r="CH55" i="15" s="1"/>
  <c r="CH5" i="16" s="1"/>
  <c r="CH8" i="16" s="1"/>
  <c r="CH55" i="16" s="1"/>
  <c r="CH5" i="17" s="1"/>
  <c r="CH8" i="17" s="1"/>
  <c r="CH55" i="17" s="1"/>
  <c r="CH5" i="18" s="1"/>
  <c r="CH8" i="18" s="1"/>
  <c r="CH55" i="18" s="1"/>
  <c r="CH5" i="19" s="1"/>
  <c r="CH8" i="19" s="1"/>
  <c r="CH55" i="19" s="1"/>
  <c r="CH5" i="20" s="1"/>
  <c r="CH8" i="20" s="1"/>
  <c r="CH55" i="20" s="1"/>
  <c r="CH5" i="21" s="1"/>
  <c r="CH8" i="21" s="1"/>
  <c r="CH55" i="21" s="1"/>
  <c r="CH5" i="22" s="1"/>
  <c r="CH8" i="22" s="1"/>
  <c r="CH55" i="22" s="1"/>
  <c r="AB55" i="1"/>
  <c r="M100" i="1"/>
  <c r="CJ55" i="1"/>
  <c r="CJ5" i="2" s="1"/>
  <c r="CJ8" i="2" s="1"/>
  <c r="CJ55" i="2" s="1"/>
  <c r="CJ5" i="3" s="1"/>
  <c r="CJ8" i="3" s="1"/>
  <c r="CJ55" i="3" s="1"/>
  <c r="CJ5" i="4" s="1"/>
  <c r="CJ8" i="4" s="1"/>
  <c r="CJ55" i="4" s="1"/>
  <c r="CJ5" i="5" s="1"/>
  <c r="CJ8" i="5" s="1"/>
  <c r="CJ55" i="5" s="1"/>
  <c r="CJ5" i="6" s="1"/>
  <c r="CJ8" i="6" s="1"/>
  <c r="CJ55" i="6" s="1"/>
  <c r="CJ5" i="7" s="1"/>
  <c r="CJ8" i="7" s="1"/>
  <c r="CJ55" i="7" s="1"/>
  <c r="CJ5" i="8" s="1"/>
  <c r="CJ8" i="8" s="1"/>
  <c r="CJ55" i="8" s="1"/>
  <c r="CJ5" i="9" s="1"/>
  <c r="CJ8" i="9" s="1"/>
  <c r="CJ55" i="9" s="1"/>
  <c r="CJ5" i="10" s="1"/>
  <c r="CJ8" i="10" s="1"/>
  <c r="CJ55" i="10" s="1"/>
  <c r="CJ5" i="11" s="1"/>
  <c r="CJ8" i="11" s="1"/>
  <c r="CJ55" i="11" s="1"/>
  <c r="CJ5" i="12" s="1"/>
  <c r="CJ8" i="12" s="1"/>
  <c r="CJ55" i="12" s="1"/>
  <c r="CJ5" i="13" s="1"/>
  <c r="CJ8" i="13" s="1"/>
  <c r="CJ55" i="13" s="1"/>
  <c r="CJ5" i="14" s="1"/>
  <c r="CJ8" i="14" s="1"/>
  <c r="CJ55" i="14" s="1"/>
  <c r="CJ5" i="15" s="1"/>
  <c r="CJ8" i="15" s="1"/>
  <c r="CJ55" i="15" s="1"/>
  <c r="CJ5" i="16" s="1"/>
  <c r="CJ8" i="16" s="1"/>
  <c r="CJ55" i="16" s="1"/>
  <c r="CJ5" i="17" s="1"/>
  <c r="CJ8" i="17" s="1"/>
  <c r="CJ55" i="17" s="1"/>
  <c r="CJ5" i="18" s="1"/>
  <c r="CJ8" i="18" s="1"/>
  <c r="CJ55" i="18" s="1"/>
  <c r="CJ5" i="19" s="1"/>
  <c r="CJ8" i="19" s="1"/>
  <c r="CJ55" i="19" s="1"/>
  <c r="CJ5" i="20" s="1"/>
  <c r="CJ8" i="20" s="1"/>
  <c r="CJ55" i="20" s="1"/>
  <c r="CJ5" i="21" s="1"/>
  <c r="CJ8" i="21" s="1"/>
  <c r="CJ55" i="21" s="1"/>
  <c r="CJ5" i="22" s="1"/>
  <c r="CJ8" i="22" s="1"/>
  <c r="CJ55" i="22" s="1"/>
  <c r="L108" i="1"/>
  <c r="D60" i="1"/>
  <c r="CW29" i="1"/>
  <c r="K55" i="1"/>
  <c r="AI55" i="1"/>
  <c r="AI5" i="2" s="1"/>
  <c r="AI8" i="2" s="1"/>
  <c r="AI55" i="2" s="1"/>
  <c r="AI5" i="3" s="1"/>
  <c r="AI8" i="3" s="1"/>
  <c r="AI55" i="3" s="1"/>
  <c r="AI5" i="4" s="1"/>
  <c r="AI8" i="4" s="1"/>
  <c r="AI55" i="4" s="1"/>
  <c r="AI5" i="5" s="1"/>
  <c r="AI8" i="5" s="1"/>
  <c r="AI55" i="5" s="1"/>
  <c r="AI5" i="6" s="1"/>
  <c r="AI8" i="6" s="1"/>
  <c r="AI55" i="6" s="1"/>
  <c r="AI5" i="7" s="1"/>
  <c r="AI8" i="7" s="1"/>
  <c r="AI55" i="7" s="1"/>
  <c r="AI5" i="8" s="1"/>
  <c r="AI8" i="8" s="1"/>
  <c r="AI55" i="8" s="1"/>
  <c r="AI5" i="9" s="1"/>
  <c r="AI8" i="9" s="1"/>
  <c r="AI55" i="9" s="1"/>
  <c r="AI5" i="10" s="1"/>
  <c r="AI8" i="10" s="1"/>
  <c r="AI55" i="10" s="1"/>
  <c r="AI5" i="11" s="1"/>
  <c r="AI8" i="11" s="1"/>
  <c r="AI55" i="11" s="1"/>
  <c r="AI5" i="12" s="1"/>
  <c r="AI8" i="12" s="1"/>
  <c r="AI55" i="12" s="1"/>
  <c r="AI5" i="13" s="1"/>
  <c r="AI8" i="13" s="1"/>
  <c r="AI55" i="13" s="1"/>
  <c r="AI5" i="14" s="1"/>
  <c r="AI8" i="14" s="1"/>
  <c r="AI55" i="14" s="1"/>
  <c r="AI5" i="15" s="1"/>
  <c r="AI8" i="15" s="1"/>
  <c r="AI55" i="15" s="1"/>
  <c r="AI5" i="16" s="1"/>
  <c r="AI8" i="16" s="1"/>
  <c r="AI55" i="16" s="1"/>
  <c r="AI5" i="17" s="1"/>
  <c r="AI8" i="17" s="1"/>
  <c r="AI55" i="17" s="1"/>
  <c r="AI5" i="18" s="1"/>
  <c r="AI8" i="18" s="1"/>
  <c r="AI55" i="18" s="1"/>
  <c r="AI5" i="19" s="1"/>
  <c r="AI8" i="19" s="1"/>
  <c r="AI55" i="19" s="1"/>
  <c r="AI5" i="20" s="1"/>
  <c r="AI8" i="20" s="1"/>
  <c r="AI55" i="20" s="1"/>
  <c r="AI5" i="21" s="1"/>
  <c r="AI8" i="21" s="1"/>
  <c r="AI55" i="21" s="1"/>
  <c r="AI5" i="22" s="1"/>
  <c r="AI8" i="22" s="1"/>
  <c r="AI55" i="22" s="1"/>
  <c r="BG55" i="1"/>
  <c r="BG5" i="2" s="1"/>
  <c r="BS55" i="1"/>
  <c r="BS5" i="2" s="1"/>
  <c r="BS8" i="2" s="1"/>
  <c r="BS55" i="2" s="1"/>
  <c r="BS5" i="3" s="1"/>
  <c r="BS8" i="3" s="1"/>
  <c r="BS55" i="3" s="1"/>
  <c r="BS5" i="4" s="1"/>
  <c r="BS8" i="4" s="1"/>
  <c r="BS55" i="4" s="1"/>
  <c r="BS5" i="5" s="1"/>
  <c r="BS8" i="5" s="1"/>
  <c r="BS55" i="5" s="1"/>
  <c r="BS5" i="6" s="1"/>
  <c r="BS8" i="6" s="1"/>
  <c r="BS55" i="6" s="1"/>
  <c r="BS5" i="7" s="1"/>
  <c r="BS8" i="7" s="1"/>
  <c r="BS55" i="7" s="1"/>
  <c r="BS5" i="8" s="1"/>
  <c r="BS8" i="8" s="1"/>
  <c r="BS55" i="8" s="1"/>
  <c r="BS5" i="9" s="1"/>
  <c r="BS8" i="9" s="1"/>
  <c r="BS55" i="9" s="1"/>
  <c r="BS5" i="10" s="1"/>
  <c r="BS8" i="10" s="1"/>
  <c r="BS55" i="10" s="1"/>
  <c r="BS5" i="11" s="1"/>
  <c r="BS8" i="11" s="1"/>
  <c r="BS55" i="11" s="1"/>
  <c r="BS5" i="12" s="1"/>
  <c r="BS8" i="12" s="1"/>
  <c r="BS55" i="12" s="1"/>
  <c r="BS5" i="13" s="1"/>
  <c r="BS8" i="13" s="1"/>
  <c r="BS55" i="13" s="1"/>
  <c r="BS5" i="14" s="1"/>
  <c r="BS8" i="14" s="1"/>
  <c r="BS55" i="14" s="1"/>
  <c r="BS5" i="15" s="1"/>
  <c r="BS8" i="15" s="1"/>
  <c r="BS55" i="15" s="1"/>
  <c r="BS5" i="16" s="1"/>
  <c r="BS8" i="16" s="1"/>
  <c r="BS55" i="16" s="1"/>
  <c r="BS5" i="17" s="1"/>
  <c r="BS8" i="17" s="1"/>
  <c r="BS55" i="17" s="1"/>
  <c r="BS5" i="18" s="1"/>
  <c r="BS8" i="18" s="1"/>
  <c r="BS55" i="18" s="1"/>
  <c r="BS5" i="19" s="1"/>
  <c r="BS8" i="19" s="1"/>
  <c r="BS55" i="19" s="1"/>
  <c r="BS5" i="20" s="1"/>
  <c r="BS8" i="20" s="1"/>
  <c r="BS55" i="20" s="1"/>
  <c r="BS5" i="21" s="1"/>
  <c r="BS8" i="21" s="1"/>
  <c r="BS55" i="21" s="1"/>
  <c r="BS5" i="22" s="1"/>
  <c r="BS8" i="22" s="1"/>
  <c r="BS55" i="22" s="1"/>
  <c r="CE55" i="1"/>
  <c r="CE5" i="2" s="1"/>
  <c r="CE8" i="2" s="1"/>
  <c r="CE55" i="2" s="1"/>
  <c r="CE5" i="3" s="1"/>
  <c r="CE8" i="3" s="1"/>
  <c r="CE55" i="3" s="1"/>
  <c r="CE5" i="4" s="1"/>
  <c r="CE8" i="4" s="1"/>
  <c r="CE55" i="4" s="1"/>
  <c r="CE5" i="5" s="1"/>
  <c r="CE8" i="5" s="1"/>
  <c r="CE55" i="5" s="1"/>
  <c r="CE5" i="6" s="1"/>
  <c r="CE8" i="6" s="1"/>
  <c r="CE55" i="6" s="1"/>
  <c r="CE5" i="7" s="1"/>
  <c r="CE8" i="7" s="1"/>
  <c r="CE55" i="7" s="1"/>
  <c r="CE5" i="8" s="1"/>
  <c r="CE8" i="8" s="1"/>
  <c r="CE55" i="8" s="1"/>
  <c r="CE5" i="9" s="1"/>
  <c r="CE8" i="9" s="1"/>
  <c r="CE55" i="9" s="1"/>
  <c r="CE5" i="10" s="1"/>
  <c r="CE8" i="10" s="1"/>
  <c r="CE55" i="10" s="1"/>
  <c r="CE5" i="11" s="1"/>
  <c r="CE8" i="11" s="1"/>
  <c r="CE55" i="11" s="1"/>
  <c r="CE5" i="12" s="1"/>
  <c r="CE8" i="12" s="1"/>
  <c r="CE55" i="12" s="1"/>
  <c r="CE5" i="13" s="1"/>
  <c r="CE8" i="13" s="1"/>
  <c r="CE55" i="13" s="1"/>
  <c r="CE5" i="14" s="1"/>
  <c r="CE8" i="14" s="1"/>
  <c r="CE55" i="14" s="1"/>
  <c r="CE5" i="15" s="1"/>
  <c r="CE8" i="15" s="1"/>
  <c r="CE55" i="15" s="1"/>
  <c r="CE5" i="16" s="1"/>
  <c r="CE8" i="16" s="1"/>
  <c r="CE55" i="16" s="1"/>
  <c r="CE5" i="17" s="1"/>
  <c r="CE8" i="17" s="1"/>
  <c r="CE55" i="17" s="1"/>
  <c r="CE5" i="18" s="1"/>
  <c r="CE8" i="18" s="1"/>
  <c r="CE55" i="18" s="1"/>
  <c r="CE5" i="19" s="1"/>
  <c r="CE8" i="19" s="1"/>
  <c r="CE55" i="19" s="1"/>
  <c r="CE5" i="20" s="1"/>
  <c r="CE8" i="20" s="1"/>
  <c r="CE55" i="20" s="1"/>
  <c r="CE5" i="21" s="1"/>
  <c r="CE8" i="21" s="1"/>
  <c r="CE55" i="21" s="1"/>
  <c r="CE5" i="22" s="1"/>
  <c r="CE8" i="22" s="1"/>
  <c r="CE55" i="22" s="1"/>
  <c r="CQ55" i="1"/>
  <c r="CQ5" i="2" s="1"/>
  <c r="CQ8" i="2" s="1"/>
  <c r="CQ55" i="2" s="1"/>
  <c r="CQ5" i="3" s="1"/>
  <c r="CQ8" i="3" s="1"/>
  <c r="CQ55" i="3" s="1"/>
  <c r="CQ5" i="4" s="1"/>
  <c r="CQ8" i="4" s="1"/>
  <c r="CQ55" i="4" s="1"/>
  <c r="CQ5" i="5" s="1"/>
  <c r="CQ8" i="5" s="1"/>
  <c r="CQ55" i="5" s="1"/>
  <c r="CQ5" i="6" s="1"/>
  <c r="CQ8" i="6" s="1"/>
  <c r="CQ55" i="6" s="1"/>
  <c r="CQ5" i="7" s="1"/>
  <c r="CQ8" i="7" s="1"/>
  <c r="CQ55" i="7" s="1"/>
  <c r="CQ5" i="8" s="1"/>
  <c r="CQ8" i="8" s="1"/>
  <c r="CQ55" i="8" s="1"/>
  <c r="CQ5" i="9" s="1"/>
  <c r="CQ8" i="9" s="1"/>
  <c r="CQ55" i="9" s="1"/>
  <c r="CQ5" i="10" s="1"/>
  <c r="CQ8" i="10" s="1"/>
  <c r="CQ55" i="10" s="1"/>
  <c r="CQ5" i="11" s="1"/>
  <c r="CQ8" i="11" s="1"/>
  <c r="CQ55" i="11" s="1"/>
  <c r="CQ5" i="12" s="1"/>
  <c r="CQ8" i="12" s="1"/>
  <c r="CQ55" i="12" s="1"/>
  <c r="CQ5" i="13" s="1"/>
  <c r="CQ8" i="13" s="1"/>
  <c r="CQ55" i="13" s="1"/>
  <c r="CQ5" i="14" s="1"/>
  <c r="CQ8" i="14" s="1"/>
  <c r="CQ55" i="14" s="1"/>
  <c r="CQ5" i="15" s="1"/>
  <c r="CQ8" i="15" s="1"/>
  <c r="CQ55" i="15" s="1"/>
  <c r="CQ5" i="16" s="1"/>
  <c r="CQ8" i="16" s="1"/>
  <c r="CQ55" i="16" s="1"/>
  <c r="CQ5" i="17" s="1"/>
  <c r="CQ8" i="17" s="1"/>
  <c r="CQ55" i="17" s="1"/>
  <c r="CQ5" i="18" s="1"/>
  <c r="CQ8" i="18" s="1"/>
  <c r="CQ55" i="18" s="1"/>
  <c r="CQ5" i="19" s="1"/>
  <c r="CQ8" i="19" s="1"/>
  <c r="CQ55" i="19" s="1"/>
  <c r="CQ5" i="20" s="1"/>
  <c r="CQ8" i="20" s="1"/>
  <c r="CQ55" i="20" s="1"/>
  <c r="CQ5" i="21" s="1"/>
  <c r="CQ8" i="21" s="1"/>
  <c r="CQ55" i="21" s="1"/>
  <c r="CQ5" i="22" s="1"/>
  <c r="CQ8" i="22" s="1"/>
  <c r="CQ55" i="22" s="1"/>
  <c r="CW52" i="1"/>
  <c r="BA54" i="1"/>
  <c r="G93" i="1"/>
  <c r="M93" i="1" s="1"/>
  <c r="G105" i="1"/>
  <c r="L106" i="1"/>
  <c r="M106" i="1" s="1"/>
  <c r="G102" i="1"/>
  <c r="L103" i="1"/>
  <c r="M103" i="1" s="1"/>
  <c r="W54" i="1"/>
  <c r="AU54" i="1"/>
  <c r="AU55" i="1" s="1"/>
  <c r="AU5" i="2" s="1"/>
  <c r="AS8" i="1"/>
  <c r="AS55" i="1" s="1"/>
  <c r="AS5" i="2" s="1"/>
  <c r="M95" i="1"/>
  <c r="G90" i="1"/>
  <c r="BH8" i="1"/>
  <c r="BH55" i="1" s="1"/>
  <c r="BH5" i="2" s="1"/>
  <c r="S8" i="16" l="1"/>
  <c r="AW55" i="1"/>
  <c r="AW5" i="2" s="1"/>
  <c r="AY8" i="3"/>
  <c r="AY55" i="3" s="1"/>
  <c r="AY5" i="4" s="1"/>
  <c r="G106" i="3"/>
  <c r="M106" i="3" s="1"/>
  <c r="G82" i="2"/>
  <c r="AJ5" i="3"/>
  <c r="AJ8" i="3" s="1"/>
  <c r="AJ55" i="3" s="1"/>
  <c r="G69" i="2"/>
  <c r="X5" i="3"/>
  <c r="X8" i="3" s="1"/>
  <c r="X55" i="3" s="1"/>
  <c r="G67" i="1"/>
  <c r="T5" i="2"/>
  <c r="T8" i="2" s="1"/>
  <c r="T55" i="2" s="1"/>
  <c r="BF8" i="2"/>
  <c r="BF55" i="2" s="1"/>
  <c r="BF5" i="3" s="1"/>
  <c r="G100" i="2"/>
  <c r="M100" i="2" s="1"/>
  <c r="G68" i="1"/>
  <c r="V5" i="2"/>
  <c r="V8" i="2" s="1"/>
  <c r="V55" i="2" s="1"/>
  <c r="G63" i="1"/>
  <c r="R5" i="2"/>
  <c r="R8" i="2" s="1"/>
  <c r="R55" i="2" s="1"/>
  <c r="G79" i="1"/>
  <c r="AD5" i="2"/>
  <c r="AD8" i="2" s="1"/>
  <c r="AD55" i="2" s="1"/>
  <c r="G62" i="1"/>
  <c r="P5" i="2"/>
  <c r="P8" i="2" s="1"/>
  <c r="P55" i="2" s="1"/>
  <c r="BH8" i="2"/>
  <c r="BH55" i="2" s="1"/>
  <c r="BH5" i="3" s="1"/>
  <c r="G91" i="2"/>
  <c r="M91" i="2" s="1"/>
  <c r="G80" i="1"/>
  <c r="AF5" i="2"/>
  <c r="AF8" i="2" s="1"/>
  <c r="AF55" i="2" s="1"/>
  <c r="AS8" i="2"/>
  <c r="AS55" i="2" s="1"/>
  <c r="AS5" i="3" s="1"/>
  <c r="G96" i="2"/>
  <c r="M96" i="2" s="1"/>
  <c r="BE8" i="2"/>
  <c r="BE55" i="2" s="1"/>
  <c r="BE5" i="3" s="1"/>
  <c r="G93" i="2"/>
  <c r="M93" i="2" s="1"/>
  <c r="G78" i="1"/>
  <c r="AB5" i="2"/>
  <c r="AB8" i="2" s="1"/>
  <c r="AB55" i="2" s="1"/>
  <c r="G73" i="1"/>
  <c r="L5" i="2"/>
  <c r="L8" i="2" s="1"/>
  <c r="L55" i="2" s="1"/>
  <c r="G90" i="2"/>
  <c r="AR8" i="2"/>
  <c r="AR55" i="2" s="1"/>
  <c r="AR5" i="3" s="1"/>
  <c r="BG8" i="2"/>
  <c r="BG55" i="2" s="1"/>
  <c r="BG5" i="3" s="1"/>
  <c r="G105" i="2"/>
  <c r="M105" i="2" s="1"/>
  <c r="G101" i="2"/>
  <c r="M101" i="2" s="1"/>
  <c r="AX8" i="2"/>
  <c r="AX55" i="2" s="1"/>
  <c r="AX5" i="3" s="1"/>
  <c r="AT8" i="2"/>
  <c r="AT55" i="2" s="1"/>
  <c r="AT5" i="3" s="1"/>
  <c r="G95" i="2"/>
  <c r="G74" i="1"/>
  <c r="M5" i="2"/>
  <c r="M8" i="2" s="1"/>
  <c r="M55" i="2" s="1"/>
  <c r="G61" i="1"/>
  <c r="N5" i="2"/>
  <c r="N8" i="2" s="1"/>
  <c r="N55" i="2" s="1"/>
  <c r="G102" i="2"/>
  <c r="AU8" i="2"/>
  <c r="AU55" i="2" s="1"/>
  <c r="AU5" i="3" s="1"/>
  <c r="G94" i="2"/>
  <c r="M94" i="2" s="1"/>
  <c r="AW8" i="2"/>
  <c r="AW55" i="2" s="1"/>
  <c r="AW5" i="3" s="1"/>
  <c r="G72" i="1"/>
  <c r="K5" i="2"/>
  <c r="K8" i="2" s="1"/>
  <c r="K55" i="2" s="1"/>
  <c r="G97" i="2"/>
  <c r="M97" i="2" s="1"/>
  <c r="BI8" i="2"/>
  <c r="BI55" i="2" s="1"/>
  <c r="BI5" i="3" s="1"/>
  <c r="G81" i="1"/>
  <c r="AH5" i="2"/>
  <c r="AH8" i="2" s="1"/>
  <c r="AH55" i="2" s="1"/>
  <c r="G103" i="2"/>
  <c r="M103" i="2" s="1"/>
  <c r="BJ8" i="2"/>
  <c r="BJ55" i="2" s="1"/>
  <c r="BJ5" i="3" s="1"/>
  <c r="G77" i="1"/>
  <c r="Z5" i="2"/>
  <c r="Z8" i="2" s="1"/>
  <c r="Z55" i="2" s="1"/>
  <c r="M101" i="1"/>
  <c r="M105" i="1"/>
  <c r="CW54" i="1"/>
  <c r="M102" i="1"/>
  <c r="W55" i="1"/>
  <c r="W5" i="2" s="1"/>
  <c r="W8" i="2" s="1"/>
  <c r="W55" i="2" s="1"/>
  <c r="W5" i="3" s="1"/>
  <c r="W8" i="3" s="1"/>
  <c r="W55" i="3" s="1"/>
  <c r="W5" i="4" s="1"/>
  <c r="W8" i="4" s="1"/>
  <c r="W55" i="4" s="1"/>
  <c r="W5" i="5" s="1"/>
  <c r="W8" i="5" s="1"/>
  <c r="W55" i="5" s="1"/>
  <c r="W5" i="6" s="1"/>
  <c r="W8" i="6" s="1"/>
  <c r="W55" i="6" s="1"/>
  <c r="W5" i="7" s="1"/>
  <c r="W8" i="7" s="1"/>
  <c r="W55" i="7" s="1"/>
  <c r="W5" i="8" s="1"/>
  <c r="W8" i="8" s="1"/>
  <c r="W55" i="8" s="1"/>
  <c r="W5" i="9" s="1"/>
  <c r="W8" i="9" s="1"/>
  <c r="W55" i="9" s="1"/>
  <c r="W5" i="10" s="1"/>
  <c r="W8" i="10" s="1"/>
  <c r="W55" i="10" s="1"/>
  <c r="W5" i="11" s="1"/>
  <c r="W8" i="11" s="1"/>
  <c r="W55" i="11" s="1"/>
  <c r="W5" i="12" s="1"/>
  <c r="W8" i="12" s="1"/>
  <c r="W55" i="12" s="1"/>
  <c r="W5" i="13" s="1"/>
  <c r="W8" i="13" s="1"/>
  <c r="W55" i="13" s="1"/>
  <c r="W5" i="14" s="1"/>
  <c r="W8" i="14" s="1"/>
  <c r="W55" i="14" s="1"/>
  <c r="W5" i="15" s="1"/>
  <c r="W8" i="15" s="1"/>
  <c r="W55" i="15" s="1"/>
  <c r="W5" i="16" s="1"/>
  <c r="W8" i="16" s="1"/>
  <c r="W55" i="16" s="1"/>
  <c r="W5" i="17" s="1"/>
  <c r="W8" i="17" s="1"/>
  <c r="W55" i="17" s="1"/>
  <c r="W5" i="18" s="1"/>
  <c r="W8" i="18" s="1"/>
  <c r="W55" i="18" s="1"/>
  <c r="W5" i="19" s="1"/>
  <c r="W8" i="19" s="1"/>
  <c r="W55" i="19" s="1"/>
  <c r="W5" i="20" s="1"/>
  <c r="W8" i="20" s="1"/>
  <c r="W55" i="20" s="1"/>
  <c r="W5" i="21" s="1"/>
  <c r="W8" i="21" s="1"/>
  <c r="W55" i="21" s="1"/>
  <c r="W5" i="22" s="1"/>
  <c r="W8" i="22" s="1"/>
  <c r="W55" i="22" s="1"/>
  <c r="L110" i="1"/>
  <c r="M90" i="1"/>
  <c r="S55" i="16" l="1"/>
  <c r="S5" i="17" s="1"/>
  <c r="S8" i="17" s="1"/>
  <c r="S55" i="17" s="1"/>
  <c r="S5" i="18" s="1"/>
  <c r="S8" i="18" s="1"/>
  <c r="S55" i="18" s="1"/>
  <c r="S5" i="19" s="1"/>
  <c r="S8" i="19" s="1"/>
  <c r="S55" i="19" s="1"/>
  <c r="S5" i="20" s="1"/>
  <c r="S8" i="20" s="1"/>
  <c r="S55" i="20" s="1"/>
  <c r="S5" i="21" s="1"/>
  <c r="S8" i="21" s="1"/>
  <c r="S55" i="21" s="1"/>
  <c r="S5" i="22" s="1"/>
  <c r="S8" i="22" s="1"/>
  <c r="S55" i="22" s="1"/>
  <c r="AX8" i="3"/>
  <c r="AX55" i="3" s="1"/>
  <c r="AX5" i="4" s="1"/>
  <c r="G101" i="3"/>
  <c r="M101" i="3" s="1"/>
  <c r="AW8" i="3"/>
  <c r="AW55" i="3" s="1"/>
  <c r="AW5" i="4" s="1"/>
  <c r="G94" i="3"/>
  <c r="M94" i="3" s="1"/>
  <c r="G80" i="2"/>
  <c r="AF5" i="3"/>
  <c r="AF8" i="3" s="1"/>
  <c r="AF55" i="3" s="1"/>
  <c r="G96" i="3"/>
  <c r="M96" i="3" s="1"/>
  <c r="AS8" i="3"/>
  <c r="AS55" i="3" s="1"/>
  <c r="AS5" i="4" s="1"/>
  <c r="BG8" i="3"/>
  <c r="BG55" i="3" s="1"/>
  <c r="BG5" i="4" s="1"/>
  <c r="G105" i="3"/>
  <c r="M105" i="3" s="1"/>
  <c r="G100" i="3"/>
  <c r="M100" i="3" s="1"/>
  <c r="BF8" i="3"/>
  <c r="BF55" i="3" s="1"/>
  <c r="BF5" i="4" s="1"/>
  <c r="AR8" i="3"/>
  <c r="AR55" i="3" s="1"/>
  <c r="AR5" i="4" s="1"/>
  <c r="G90" i="3"/>
  <c r="M90" i="3" s="1"/>
  <c r="G91" i="3"/>
  <c r="M91" i="3" s="1"/>
  <c r="BH8" i="3"/>
  <c r="BH55" i="3" s="1"/>
  <c r="BH5" i="4" s="1"/>
  <c r="G77" i="2"/>
  <c r="Z5" i="3"/>
  <c r="Z8" i="3" s="1"/>
  <c r="Z55" i="3" s="1"/>
  <c r="BJ8" i="3"/>
  <c r="BJ55" i="3" s="1"/>
  <c r="BJ5" i="4" s="1"/>
  <c r="G103" i="3"/>
  <c r="M103" i="3" s="1"/>
  <c r="G79" i="2"/>
  <c r="AD5" i="3"/>
  <c r="AD8" i="3" s="1"/>
  <c r="AD55" i="3" s="1"/>
  <c r="AU8" i="3"/>
  <c r="AU55" i="3" s="1"/>
  <c r="AU5" i="4" s="1"/>
  <c r="G102" i="3"/>
  <c r="M102" i="3" s="1"/>
  <c r="G61" i="2"/>
  <c r="N5" i="3"/>
  <c r="N8" i="3" s="1"/>
  <c r="N55" i="3" s="1"/>
  <c r="G81" i="2"/>
  <c r="AH5" i="3"/>
  <c r="AH8" i="3" s="1"/>
  <c r="AH55" i="3" s="1"/>
  <c r="G78" i="2"/>
  <c r="AB5" i="3"/>
  <c r="AB8" i="3" s="1"/>
  <c r="AB55" i="3" s="1"/>
  <c r="G82" i="3"/>
  <c r="AJ5" i="4"/>
  <c r="AJ8" i="4" s="1"/>
  <c r="AJ55" i="4" s="1"/>
  <c r="G97" i="3"/>
  <c r="M97" i="3" s="1"/>
  <c r="BI8" i="3"/>
  <c r="BI55" i="3" s="1"/>
  <c r="BI5" i="4" s="1"/>
  <c r="G63" i="2"/>
  <c r="R5" i="3"/>
  <c r="R8" i="3" s="1"/>
  <c r="R55" i="3" s="1"/>
  <c r="AT8" i="3"/>
  <c r="AT55" i="3" s="1"/>
  <c r="AT5" i="4" s="1"/>
  <c r="G95" i="3"/>
  <c r="M95" i="3" s="1"/>
  <c r="G93" i="3"/>
  <c r="M93" i="3" s="1"/>
  <c r="BE8" i="3"/>
  <c r="BE55" i="3" s="1"/>
  <c r="BE5" i="4" s="1"/>
  <c r="G106" i="4"/>
  <c r="M106" i="4" s="1"/>
  <c r="AY8" i="4"/>
  <c r="AY55" i="4" s="1"/>
  <c r="AY5" i="5" s="1"/>
  <c r="G69" i="3"/>
  <c r="X5" i="4"/>
  <c r="X8" i="4" s="1"/>
  <c r="X55" i="4" s="1"/>
  <c r="G74" i="2"/>
  <c r="M5" i="3"/>
  <c r="M8" i="3" s="1"/>
  <c r="M55" i="3" s="1"/>
  <c r="G73" i="2"/>
  <c r="L5" i="3"/>
  <c r="L8" i="3" s="1"/>
  <c r="L55" i="3" s="1"/>
  <c r="G72" i="2"/>
  <c r="K5" i="3"/>
  <c r="K8" i="3" s="1"/>
  <c r="K55" i="3" s="1"/>
  <c r="G67" i="2"/>
  <c r="T5" i="3"/>
  <c r="T8" i="3" s="1"/>
  <c r="T55" i="3" s="1"/>
  <c r="G68" i="2"/>
  <c r="V5" i="3"/>
  <c r="V8" i="3" s="1"/>
  <c r="V55" i="3" s="1"/>
  <c r="G62" i="2"/>
  <c r="P5" i="3"/>
  <c r="P8" i="3" s="1"/>
  <c r="P55" i="3" s="1"/>
  <c r="M95" i="2"/>
  <c r="M102" i="2"/>
  <c r="M90" i="2"/>
  <c r="BL5" i="1"/>
  <c r="BM5" i="1"/>
  <c r="BM8" i="1" s="1"/>
  <c r="BM55" i="1" s="1"/>
  <c r="BM5" i="2" s="1"/>
  <c r="BM8" i="2" s="1"/>
  <c r="BM55" i="2" s="1"/>
  <c r="BM5" i="3" s="1"/>
  <c r="BM8" i="3" s="1"/>
  <c r="BM55" i="3" s="1"/>
  <c r="BM5" i="4" s="1"/>
  <c r="BM8" i="4" s="1"/>
  <c r="BM55" i="4" s="1"/>
  <c r="BM5" i="5" s="1"/>
  <c r="BM8" i="5" s="1"/>
  <c r="BM55" i="5" s="1"/>
  <c r="BM5" i="6" s="1"/>
  <c r="BM8" i="6" s="1"/>
  <c r="BM55" i="6" s="1"/>
  <c r="BM5" i="7" s="1"/>
  <c r="BM8" i="7" s="1"/>
  <c r="BM55" i="7" s="1"/>
  <c r="BM5" i="8" s="1"/>
  <c r="BM8" i="8" s="1"/>
  <c r="BM55" i="8" s="1"/>
  <c r="BM5" i="9" s="1"/>
  <c r="BM8" i="9" s="1"/>
  <c r="BM55" i="9" s="1"/>
  <c r="BM5" i="10" s="1"/>
  <c r="BM8" i="10" s="1"/>
  <c r="BM55" i="10" s="1"/>
  <c r="BM5" i="11" s="1"/>
  <c r="BM8" i="11" s="1"/>
  <c r="BM55" i="11" s="1"/>
  <c r="BM5" i="12" s="1"/>
  <c r="BM8" i="12" s="1"/>
  <c r="BM55" i="12" s="1"/>
  <c r="BM5" i="13" s="1"/>
  <c r="BM8" i="13" s="1"/>
  <c r="BM55" i="13" s="1"/>
  <c r="BM5" i="14" s="1"/>
  <c r="BM8" i="14" s="1"/>
  <c r="BM55" i="14" s="1"/>
  <c r="BM5" i="15" s="1"/>
  <c r="BM8" i="15" s="1"/>
  <c r="BM55" i="15" s="1"/>
  <c r="BM5" i="16" s="1"/>
  <c r="BM8" i="16" s="1"/>
  <c r="BM55" i="16" s="1"/>
  <c r="BM5" i="17" s="1"/>
  <c r="BM8" i="17" s="1"/>
  <c r="BM55" i="17" s="1"/>
  <c r="BM5" i="18" s="1"/>
  <c r="BM8" i="18" s="1"/>
  <c r="BM55" i="18" s="1"/>
  <c r="BM5" i="19" s="1"/>
  <c r="BM8" i="19" s="1"/>
  <c r="BM55" i="19" s="1"/>
  <c r="BM5" i="20" s="1"/>
  <c r="BM8" i="20" s="1"/>
  <c r="BM55" i="20" s="1"/>
  <c r="BM5" i="21" s="1"/>
  <c r="BM8" i="21" s="1"/>
  <c r="BM55" i="21" s="1"/>
  <c r="BM5" i="22" s="1"/>
  <c r="BM8" i="22" s="1"/>
  <c r="BM55" i="22" s="1"/>
  <c r="I5" i="1"/>
  <c r="I8" i="1" s="1"/>
  <c r="I55" i="1" s="1"/>
  <c r="I5" i="2" s="1"/>
  <c r="I8" i="2" s="1"/>
  <c r="I55" i="2" s="1"/>
  <c r="I5" i="3" s="1"/>
  <c r="I8" i="3" s="1"/>
  <c r="I55" i="3" s="1"/>
  <c r="I5" i="4" s="1"/>
  <c r="I8" i="4" s="1"/>
  <c r="I55" i="4" s="1"/>
  <c r="I5" i="5" s="1"/>
  <c r="I8" i="5" s="1"/>
  <c r="I55" i="5" s="1"/>
  <c r="I5" i="6" s="1"/>
  <c r="I8" i="6" s="1"/>
  <c r="I55" i="6" s="1"/>
  <c r="I5" i="7" s="1"/>
  <c r="I8" i="7" s="1"/>
  <c r="I55" i="7" s="1"/>
  <c r="I5" i="8" s="1"/>
  <c r="I8" i="8" s="1"/>
  <c r="I55" i="8" s="1"/>
  <c r="I5" i="9" s="1"/>
  <c r="I8" i="9" s="1"/>
  <c r="I55" i="9" s="1"/>
  <c r="I5" i="10" s="1"/>
  <c r="I8" i="10" s="1"/>
  <c r="I55" i="10" s="1"/>
  <c r="I5" i="11" s="1"/>
  <c r="I8" i="11" s="1"/>
  <c r="I55" i="11" s="1"/>
  <c r="I5" i="12" s="1"/>
  <c r="I8" i="12" s="1"/>
  <c r="I55" i="12" s="1"/>
  <c r="I5" i="13" s="1"/>
  <c r="I8" i="13" s="1"/>
  <c r="I55" i="13" s="1"/>
  <c r="I5" i="14" s="1"/>
  <c r="I8" i="14" s="1"/>
  <c r="I55" i="14" s="1"/>
  <c r="I5" i="15" s="1"/>
  <c r="I8" i="15" s="1"/>
  <c r="I55" i="15" s="1"/>
  <c r="I5" i="16" s="1"/>
  <c r="I8" i="16" s="1"/>
  <c r="I55" i="16" s="1"/>
  <c r="I5" i="17" s="1"/>
  <c r="I8" i="17" s="1"/>
  <c r="I55" i="17" s="1"/>
  <c r="I5" i="18" s="1"/>
  <c r="I8" i="18" s="1"/>
  <c r="I55" i="18" s="1"/>
  <c r="I5" i="19" s="1"/>
  <c r="I8" i="19" s="1"/>
  <c r="I55" i="19" s="1"/>
  <c r="I5" i="20" s="1"/>
  <c r="I8" i="20" s="1"/>
  <c r="I55" i="20" s="1"/>
  <c r="I5" i="21" s="1"/>
  <c r="I8" i="21" s="1"/>
  <c r="I55" i="21" s="1"/>
  <c r="I5" i="22" s="1"/>
  <c r="I8" i="22" s="1"/>
  <c r="I55" i="22" s="1"/>
  <c r="BN5" i="1"/>
  <c r="BN8" i="1" s="1"/>
  <c r="BN55" i="1" s="1"/>
  <c r="BN5" i="2" s="1"/>
  <c r="BN8" i="2" s="1"/>
  <c r="BN55" i="2" s="1"/>
  <c r="BN5" i="3" s="1"/>
  <c r="BN8" i="3" s="1"/>
  <c r="BN55" i="3" s="1"/>
  <c r="BN5" i="4" s="1"/>
  <c r="BN8" i="4" s="1"/>
  <c r="BN55" i="4" s="1"/>
  <c r="BN5" i="5" s="1"/>
  <c r="BN8" i="5" s="1"/>
  <c r="BN55" i="5" s="1"/>
  <c r="BN5" i="6" s="1"/>
  <c r="BN8" i="6" s="1"/>
  <c r="BN55" i="6" s="1"/>
  <c r="BN5" i="7" s="1"/>
  <c r="BN8" i="7" s="1"/>
  <c r="BN55" i="7" s="1"/>
  <c r="BN5" i="8" s="1"/>
  <c r="BN8" i="8" s="1"/>
  <c r="BN55" i="8" s="1"/>
  <c r="BN5" i="9" s="1"/>
  <c r="BN8" i="9" s="1"/>
  <c r="BN55" i="9" s="1"/>
  <c r="BN5" i="10" s="1"/>
  <c r="BN8" i="10" s="1"/>
  <c r="BN55" i="10" s="1"/>
  <c r="BN5" i="11" s="1"/>
  <c r="BN8" i="11" s="1"/>
  <c r="BN55" i="11" s="1"/>
  <c r="BN5" i="12" s="1"/>
  <c r="BN8" i="12" s="1"/>
  <c r="BN55" i="12" s="1"/>
  <c r="BN5" i="13" s="1"/>
  <c r="BN8" i="13" s="1"/>
  <c r="BN55" i="13" s="1"/>
  <c r="BN5" i="14" s="1"/>
  <c r="BN8" i="14" s="1"/>
  <c r="BN55" i="14" s="1"/>
  <c r="BN5" i="15" s="1"/>
  <c r="BN8" i="15" s="1"/>
  <c r="BN55" i="15" s="1"/>
  <c r="BN5" i="16" s="1"/>
  <c r="BN8" i="16" s="1"/>
  <c r="BN55" i="16" s="1"/>
  <c r="BN5" i="17" s="1"/>
  <c r="BN8" i="17" s="1"/>
  <c r="BN55" i="17" s="1"/>
  <c r="BP5" i="1"/>
  <c r="BP8" i="1" s="1"/>
  <c r="BP55" i="1" s="1"/>
  <c r="BP5" i="2" s="1"/>
  <c r="BP8" i="2" s="1"/>
  <c r="BP55" i="2" s="1"/>
  <c r="BP5" i="3" s="1"/>
  <c r="BP8" i="3" s="1"/>
  <c r="BP55" i="3" s="1"/>
  <c r="BP5" i="4" s="1"/>
  <c r="BP8" i="4" s="1"/>
  <c r="BP55" i="4" s="1"/>
  <c r="BP5" i="5" s="1"/>
  <c r="BP8" i="5" s="1"/>
  <c r="BP55" i="5" s="1"/>
  <c r="BP5" i="6" s="1"/>
  <c r="BP8" i="6" s="1"/>
  <c r="BP55" i="6" s="1"/>
  <c r="BP5" i="7" s="1"/>
  <c r="BP8" i="7" s="1"/>
  <c r="BP55" i="7" s="1"/>
  <c r="BP5" i="8" s="1"/>
  <c r="BP8" i="8" s="1"/>
  <c r="BP55" i="8" s="1"/>
  <c r="BP5" i="9" s="1"/>
  <c r="BP8" i="9" s="1"/>
  <c r="BP55" i="9" s="1"/>
  <c r="BP5" i="10" s="1"/>
  <c r="BP8" i="10" s="1"/>
  <c r="BP55" i="10" s="1"/>
  <c r="BP5" i="11" s="1"/>
  <c r="BP8" i="11" s="1"/>
  <c r="BP55" i="11" s="1"/>
  <c r="BP5" i="12" s="1"/>
  <c r="BP8" i="12" s="1"/>
  <c r="BP55" i="12" s="1"/>
  <c r="BP5" i="13" s="1"/>
  <c r="BP8" i="13" s="1"/>
  <c r="BP55" i="13" s="1"/>
  <c r="BP5" i="14" s="1"/>
  <c r="BP8" i="14" s="1"/>
  <c r="BP55" i="14" s="1"/>
  <c r="BP5" i="15" s="1"/>
  <c r="BP8" i="15" s="1"/>
  <c r="BP55" i="15" s="1"/>
  <c r="BP5" i="16" s="1"/>
  <c r="BP8" i="16" s="1"/>
  <c r="BP55" i="16" s="1"/>
  <c r="BP5" i="17" s="1"/>
  <c r="BP8" i="17" s="1"/>
  <c r="BP55" i="17" s="1"/>
  <c r="BP5" i="18" s="1"/>
  <c r="BP8" i="18" s="1"/>
  <c r="BP55" i="18" s="1"/>
  <c r="BP5" i="19" s="1"/>
  <c r="BP8" i="19" s="1"/>
  <c r="BP55" i="19" s="1"/>
  <c r="BP5" i="20" s="1"/>
  <c r="BP8" i="20" s="1"/>
  <c r="BP55" i="20" s="1"/>
  <c r="BP5" i="21" s="1"/>
  <c r="BP8" i="21" s="1"/>
  <c r="BP55" i="21" s="1"/>
  <c r="BP5" i="22" s="1"/>
  <c r="BP8" i="22" s="1"/>
  <c r="BP55" i="22" s="1"/>
  <c r="BN5" i="18" l="1"/>
  <c r="BN8" i="18" s="1"/>
  <c r="BN55" i="18" s="1"/>
  <c r="BN5" i="19" s="1"/>
  <c r="BN8" i="19" s="1"/>
  <c r="BN55" i="19" s="1"/>
  <c r="BN5" i="20" s="1"/>
  <c r="BN8" i="20" s="1"/>
  <c r="BN55" i="20" s="1"/>
  <c r="BN5" i="21" s="1"/>
  <c r="BN8" i="21" s="1"/>
  <c r="BN55" i="21" s="1"/>
  <c r="BN5" i="22" s="1"/>
  <c r="BN8" i="22" s="1"/>
  <c r="BN55" i="22" s="1"/>
  <c r="G69" i="4"/>
  <c r="X5" i="5"/>
  <c r="X8" i="5" s="1"/>
  <c r="X55" i="5" s="1"/>
  <c r="G82" i="4"/>
  <c r="AJ5" i="5"/>
  <c r="AJ8" i="5" s="1"/>
  <c r="AJ55" i="5" s="1"/>
  <c r="AY8" i="5"/>
  <c r="AY55" i="5" s="1"/>
  <c r="AY5" i="6" s="1"/>
  <c r="G106" i="5"/>
  <c r="M106" i="5" s="1"/>
  <c r="AT8" i="4"/>
  <c r="AT55" i="4" s="1"/>
  <c r="AT5" i="5" s="1"/>
  <c r="G95" i="4"/>
  <c r="M95" i="4" s="1"/>
  <c r="AR8" i="4"/>
  <c r="AR55" i="4" s="1"/>
  <c r="AR5" i="5" s="1"/>
  <c r="G90" i="4"/>
  <c r="M90" i="4" s="1"/>
  <c r="G63" i="3"/>
  <c r="R5" i="4"/>
  <c r="R8" i="4" s="1"/>
  <c r="R55" i="4" s="1"/>
  <c r="G100" i="4"/>
  <c r="M100" i="4" s="1"/>
  <c r="BF8" i="4"/>
  <c r="BF55" i="4" s="1"/>
  <c r="BF5" i="5" s="1"/>
  <c r="G97" i="4"/>
  <c r="M97" i="4" s="1"/>
  <c r="BI8" i="4"/>
  <c r="BI55" i="4" s="1"/>
  <c r="BI5" i="5" s="1"/>
  <c r="G79" i="3"/>
  <c r="AD5" i="4"/>
  <c r="AD8" i="4" s="1"/>
  <c r="AD55" i="4" s="1"/>
  <c r="AU8" i="4"/>
  <c r="AU55" i="4" s="1"/>
  <c r="AU5" i="5" s="1"/>
  <c r="G102" i="4"/>
  <c r="M102" i="4" s="1"/>
  <c r="BG8" i="4"/>
  <c r="BG55" i="4" s="1"/>
  <c r="BG5" i="5" s="1"/>
  <c r="G105" i="4"/>
  <c r="M105" i="4" s="1"/>
  <c r="G96" i="4"/>
  <c r="M96" i="4" s="1"/>
  <c r="AS8" i="4"/>
  <c r="AS55" i="4" s="1"/>
  <c r="AS5" i="5" s="1"/>
  <c r="BJ8" i="4"/>
  <c r="BJ55" i="4" s="1"/>
  <c r="BJ5" i="5" s="1"/>
  <c r="G103" i="4"/>
  <c r="M103" i="4" s="1"/>
  <c r="G68" i="3"/>
  <c r="V5" i="4"/>
  <c r="V8" i="4" s="1"/>
  <c r="V55" i="4" s="1"/>
  <c r="G78" i="3"/>
  <c r="AB5" i="4"/>
  <c r="AB8" i="4" s="1"/>
  <c r="AB55" i="4" s="1"/>
  <c r="G77" i="3"/>
  <c r="Z5" i="4"/>
  <c r="Z8" i="4" s="1"/>
  <c r="Z55" i="4" s="1"/>
  <c r="G80" i="3"/>
  <c r="AF5" i="4"/>
  <c r="AF8" i="4" s="1"/>
  <c r="AF55" i="4" s="1"/>
  <c r="G62" i="3"/>
  <c r="P5" i="4"/>
  <c r="P8" i="4" s="1"/>
  <c r="P55" i="4" s="1"/>
  <c r="G67" i="3"/>
  <c r="T5" i="4"/>
  <c r="T8" i="4" s="1"/>
  <c r="T55" i="4" s="1"/>
  <c r="BE8" i="4"/>
  <c r="BE55" i="4" s="1"/>
  <c r="BE5" i="5" s="1"/>
  <c r="G93" i="4"/>
  <c r="M93" i="4" s="1"/>
  <c r="G81" i="3"/>
  <c r="AH5" i="4"/>
  <c r="AH8" i="4" s="1"/>
  <c r="AH55" i="4" s="1"/>
  <c r="BH8" i="4"/>
  <c r="BH55" i="4" s="1"/>
  <c r="BH5" i="5" s="1"/>
  <c r="G91" i="4"/>
  <c r="M91" i="4" s="1"/>
  <c r="G94" i="4"/>
  <c r="M94" i="4" s="1"/>
  <c r="AW8" i="4"/>
  <c r="AW55" i="4" s="1"/>
  <c r="AW5" i="5" s="1"/>
  <c r="G72" i="3"/>
  <c r="K5" i="4"/>
  <c r="K8" i="4" s="1"/>
  <c r="K55" i="4" s="1"/>
  <c r="G61" i="3"/>
  <c r="N5" i="4"/>
  <c r="N8" i="4" s="1"/>
  <c r="N55" i="4" s="1"/>
  <c r="G101" i="4"/>
  <c r="M101" i="4" s="1"/>
  <c r="AX8" i="4"/>
  <c r="AX55" i="4" s="1"/>
  <c r="AX5" i="5" s="1"/>
  <c r="G74" i="3"/>
  <c r="M5" i="4"/>
  <c r="M8" i="4" s="1"/>
  <c r="M55" i="4" s="1"/>
  <c r="G73" i="3"/>
  <c r="L5" i="4"/>
  <c r="L8" i="4" s="1"/>
  <c r="L55" i="4" s="1"/>
  <c r="BL8" i="1"/>
  <c r="G63" i="4" l="1"/>
  <c r="R5" i="5"/>
  <c r="R8" i="5" s="1"/>
  <c r="R55" i="5" s="1"/>
  <c r="AW8" i="5"/>
  <c r="AW55" i="5" s="1"/>
  <c r="AW5" i="6" s="1"/>
  <c r="G94" i="5"/>
  <c r="M94" i="5" s="1"/>
  <c r="G80" i="4"/>
  <c r="AF5" i="5"/>
  <c r="AF8" i="5" s="1"/>
  <c r="AF55" i="5" s="1"/>
  <c r="G105" i="5"/>
  <c r="M105" i="5" s="1"/>
  <c r="BG8" i="5"/>
  <c r="BG55" i="5" s="1"/>
  <c r="BG5" i="6" s="1"/>
  <c r="G90" i="5"/>
  <c r="M90" i="5" s="1"/>
  <c r="AR8" i="5"/>
  <c r="AR55" i="5" s="1"/>
  <c r="AR5" i="6" s="1"/>
  <c r="G73" i="4"/>
  <c r="L5" i="5"/>
  <c r="L8" i="5" s="1"/>
  <c r="L55" i="5" s="1"/>
  <c r="G102" i="5"/>
  <c r="M102" i="5" s="1"/>
  <c r="AU8" i="5"/>
  <c r="AU55" i="5" s="1"/>
  <c r="AU5" i="6" s="1"/>
  <c r="AT8" i="5"/>
  <c r="AT55" i="5" s="1"/>
  <c r="AT5" i="6" s="1"/>
  <c r="G95" i="5"/>
  <c r="M95" i="5" s="1"/>
  <c r="G72" i="4"/>
  <c r="K5" i="5"/>
  <c r="K8" i="5" s="1"/>
  <c r="K55" i="5" s="1"/>
  <c r="G74" i="4"/>
  <c r="M5" i="5"/>
  <c r="M8" i="5" s="1"/>
  <c r="M55" i="5" s="1"/>
  <c r="G79" i="4"/>
  <c r="AD5" i="5"/>
  <c r="AD8" i="5" s="1"/>
  <c r="AD55" i="5" s="1"/>
  <c r="AS8" i="5"/>
  <c r="AS55" i="5" s="1"/>
  <c r="AS5" i="6" s="1"/>
  <c r="G96" i="5"/>
  <c r="M96" i="5" s="1"/>
  <c r="G82" i="5"/>
  <c r="AJ5" i="6"/>
  <c r="AJ8" i="6" s="1"/>
  <c r="AJ55" i="6" s="1"/>
  <c r="G77" i="4"/>
  <c r="Z5" i="5"/>
  <c r="Z8" i="5" s="1"/>
  <c r="Z55" i="5" s="1"/>
  <c r="G78" i="4"/>
  <c r="AB5" i="5"/>
  <c r="AB8" i="5" s="1"/>
  <c r="AB55" i="5" s="1"/>
  <c r="AX8" i="5"/>
  <c r="AX55" i="5" s="1"/>
  <c r="AX5" i="6" s="1"/>
  <c r="G101" i="5"/>
  <c r="M101" i="5" s="1"/>
  <c r="G93" i="5"/>
  <c r="M93" i="5" s="1"/>
  <c r="BE8" i="5"/>
  <c r="BE55" i="5" s="1"/>
  <c r="BE5" i="6" s="1"/>
  <c r="G106" i="6"/>
  <c r="M106" i="6" s="1"/>
  <c r="AY8" i="6"/>
  <c r="AY55" i="6" s="1"/>
  <c r="AY5" i="7" s="1"/>
  <c r="G97" i="5"/>
  <c r="M97" i="5" s="1"/>
  <c r="BI8" i="5"/>
  <c r="BI55" i="5" s="1"/>
  <c r="BI5" i="6" s="1"/>
  <c r="G61" i="4"/>
  <c r="N5" i="5"/>
  <c r="N8" i="5" s="1"/>
  <c r="N55" i="5" s="1"/>
  <c r="G67" i="4"/>
  <c r="T5" i="5"/>
  <c r="T8" i="5" s="1"/>
  <c r="T55" i="5" s="1"/>
  <c r="G100" i="5"/>
  <c r="M100" i="5" s="1"/>
  <c r="BF8" i="5"/>
  <c r="BF55" i="5" s="1"/>
  <c r="BF5" i="6" s="1"/>
  <c r="G69" i="5"/>
  <c r="X5" i="6"/>
  <c r="X8" i="6" s="1"/>
  <c r="X55" i="6" s="1"/>
  <c r="BH8" i="5"/>
  <c r="BH55" i="5" s="1"/>
  <c r="BH5" i="6" s="1"/>
  <c r="G91" i="5"/>
  <c r="M91" i="5" s="1"/>
  <c r="G81" i="4"/>
  <c r="AH5" i="5"/>
  <c r="AH8" i="5" s="1"/>
  <c r="AH55" i="5" s="1"/>
  <c r="G68" i="4"/>
  <c r="V5" i="5"/>
  <c r="V8" i="5" s="1"/>
  <c r="V55" i="5" s="1"/>
  <c r="BJ8" i="5"/>
  <c r="BJ55" i="5" s="1"/>
  <c r="BJ5" i="6" s="1"/>
  <c r="G103" i="5"/>
  <c r="M103" i="5" s="1"/>
  <c r="G62" i="4"/>
  <c r="P5" i="5"/>
  <c r="P8" i="5" s="1"/>
  <c r="P55" i="5" s="1"/>
  <c r="BL55" i="1"/>
  <c r="BL5" i="2" s="1"/>
  <c r="BL8" i="2" s="1"/>
  <c r="BL55" i="2" s="1"/>
  <c r="BL5" i="3" s="1"/>
  <c r="BL8" i="3" s="1"/>
  <c r="BL55" i="3" s="1"/>
  <c r="BL5" i="4" s="1"/>
  <c r="BL8" i="4" s="1"/>
  <c r="BL55" i="4" s="1"/>
  <c r="BL5" i="5" s="1"/>
  <c r="BL8" i="5" s="1"/>
  <c r="BL55" i="5" s="1"/>
  <c r="BL5" i="6" s="1"/>
  <c r="BL8" i="6" s="1"/>
  <c r="BL55" i="6" s="1"/>
  <c r="BL5" i="7" s="1"/>
  <c r="BL8" i="7" s="1"/>
  <c r="BL55" i="7" s="1"/>
  <c r="BL5" i="8" s="1"/>
  <c r="BL8" i="8" s="1"/>
  <c r="BL55" i="8" s="1"/>
  <c r="BL5" i="9" s="1"/>
  <c r="BL8" i="9" s="1"/>
  <c r="BL55" i="9" s="1"/>
  <c r="BL5" i="10" s="1"/>
  <c r="BL8" i="10" s="1"/>
  <c r="BL55" i="10" s="1"/>
  <c r="BL5" i="11" s="1"/>
  <c r="BL8" i="11" s="1"/>
  <c r="BL55" i="11" s="1"/>
  <c r="BL5" i="12" s="1"/>
  <c r="BL8" i="12" s="1"/>
  <c r="BL55" i="12" s="1"/>
  <c r="BL5" i="13" s="1"/>
  <c r="BL8" i="13" s="1"/>
  <c r="BL55" i="13" s="1"/>
  <c r="BL5" i="14" s="1"/>
  <c r="BL8" i="14" s="1"/>
  <c r="BL55" i="14" s="1"/>
  <c r="BL5" i="15" s="1"/>
  <c r="BL8" i="15" s="1"/>
  <c r="BL55" i="15" s="1"/>
  <c r="BL5" i="16" s="1"/>
  <c r="BL8" i="16" s="1"/>
  <c r="BL55" i="16" s="1"/>
  <c r="BL5" i="17" s="1"/>
  <c r="BL8" i="17" s="1"/>
  <c r="BL55" i="17" s="1"/>
  <c r="BL5" i="18" s="1"/>
  <c r="BL8" i="18" s="1"/>
  <c r="BL55" i="18" s="1"/>
  <c r="BL5" i="19" s="1"/>
  <c r="BL8" i="19" s="1"/>
  <c r="BL55" i="19" s="1"/>
  <c r="BL5" i="20" s="1"/>
  <c r="BL8" i="20" s="1"/>
  <c r="BL55" i="20" s="1"/>
  <c r="BL5" i="21" s="1"/>
  <c r="BL8" i="21" s="1"/>
  <c r="BL55" i="21" s="1"/>
  <c r="BL5" i="22" s="1"/>
  <c r="BL8" i="22" s="1"/>
  <c r="BL55" i="22" s="1"/>
  <c r="G91" i="6" l="1"/>
  <c r="M91" i="6" s="1"/>
  <c r="BH8" i="6"/>
  <c r="BH55" i="6" s="1"/>
  <c r="BH5" i="7" s="1"/>
  <c r="G96" i="6"/>
  <c r="M96" i="6" s="1"/>
  <c r="AS8" i="6"/>
  <c r="AS55" i="6" s="1"/>
  <c r="AS5" i="7" s="1"/>
  <c r="G69" i="6"/>
  <c r="X5" i="7"/>
  <c r="X8" i="7" s="1"/>
  <c r="X55" i="7" s="1"/>
  <c r="G79" i="5"/>
  <c r="AD5" i="6"/>
  <c r="AD8" i="6" s="1"/>
  <c r="AD55" i="6" s="1"/>
  <c r="G90" i="6"/>
  <c r="M90" i="6" s="1"/>
  <c r="AR8" i="6"/>
  <c r="AR55" i="6" s="1"/>
  <c r="AR5" i="7" s="1"/>
  <c r="AY8" i="7"/>
  <c r="AY55" i="7" s="1"/>
  <c r="AY5" i="8" s="1"/>
  <c r="G106" i="7"/>
  <c r="M106" i="7" s="1"/>
  <c r="G62" i="5"/>
  <c r="P5" i="6"/>
  <c r="P8" i="6" s="1"/>
  <c r="P55" i="6" s="1"/>
  <c r="G100" i="6"/>
  <c r="M100" i="6" s="1"/>
  <c r="BF8" i="6"/>
  <c r="BF55" i="6" s="1"/>
  <c r="BF5" i="7" s="1"/>
  <c r="G74" i="5"/>
  <c r="M5" i="6"/>
  <c r="M8" i="6" s="1"/>
  <c r="M55" i="6" s="1"/>
  <c r="BG8" i="6"/>
  <c r="BG55" i="6" s="1"/>
  <c r="BG5" i="7" s="1"/>
  <c r="G105" i="6"/>
  <c r="M105" i="6" s="1"/>
  <c r="AX8" i="6"/>
  <c r="AX55" i="6" s="1"/>
  <c r="AX5" i="7" s="1"/>
  <c r="G101" i="6"/>
  <c r="M101" i="6" s="1"/>
  <c r="G67" i="5"/>
  <c r="T5" i="6"/>
  <c r="T8" i="6" s="1"/>
  <c r="T55" i="6" s="1"/>
  <c r="G72" i="5"/>
  <c r="K5" i="6"/>
  <c r="K8" i="6" s="1"/>
  <c r="K55" i="6" s="1"/>
  <c r="G80" i="5"/>
  <c r="AF5" i="6"/>
  <c r="AF8" i="6" s="1"/>
  <c r="AF55" i="6" s="1"/>
  <c r="G103" i="6"/>
  <c r="M103" i="6" s="1"/>
  <c r="BJ8" i="6"/>
  <c r="BJ55" i="6" s="1"/>
  <c r="BJ5" i="7" s="1"/>
  <c r="G68" i="5"/>
  <c r="V5" i="6"/>
  <c r="V8" i="6" s="1"/>
  <c r="V55" i="6" s="1"/>
  <c r="G77" i="5"/>
  <c r="Z5" i="6"/>
  <c r="Z8" i="6" s="1"/>
  <c r="Z55" i="6" s="1"/>
  <c r="G93" i="6"/>
  <c r="M93" i="6" s="1"/>
  <c r="BE8" i="6"/>
  <c r="BE55" i="6" s="1"/>
  <c r="BE5" i="7" s="1"/>
  <c r="G61" i="5"/>
  <c r="N5" i="6"/>
  <c r="N8" i="6" s="1"/>
  <c r="N55" i="6" s="1"/>
  <c r="G95" i="6"/>
  <c r="M95" i="6" s="1"/>
  <c r="AT8" i="6"/>
  <c r="AT55" i="6" s="1"/>
  <c r="AT5" i="7" s="1"/>
  <c r="AW8" i="6"/>
  <c r="AW55" i="6" s="1"/>
  <c r="AW5" i="7" s="1"/>
  <c r="G94" i="6"/>
  <c r="M94" i="6" s="1"/>
  <c r="G73" i="5"/>
  <c r="L5" i="6"/>
  <c r="L8" i="6" s="1"/>
  <c r="L55" i="6" s="1"/>
  <c r="G81" i="5"/>
  <c r="AH5" i="6"/>
  <c r="AH8" i="6" s="1"/>
  <c r="AH55" i="6" s="1"/>
  <c r="G82" i="6"/>
  <c r="AJ5" i="7"/>
  <c r="AJ8" i="7" s="1"/>
  <c r="AJ55" i="7" s="1"/>
  <c r="G102" i="6"/>
  <c r="M102" i="6" s="1"/>
  <c r="AU8" i="6"/>
  <c r="AU55" i="6" s="1"/>
  <c r="AU5" i="7" s="1"/>
  <c r="G63" i="5"/>
  <c r="R5" i="6"/>
  <c r="R8" i="6" s="1"/>
  <c r="R55" i="6" s="1"/>
  <c r="G78" i="5"/>
  <c r="AB5" i="6"/>
  <c r="AB8" i="6" s="1"/>
  <c r="AB55" i="6" s="1"/>
  <c r="G97" i="6"/>
  <c r="M97" i="6" s="1"/>
  <c r="BI8" i="6"/>
  <c r="BI55" i="6" s="1"/>
  <c r="BI5" i="7" s="1"/>
  <c r="F5" i="1"/>
  <c r="G82" i="7" l="1"/>
  <c r="AJ5" i="8"/>
  <c r="AJ8" i="8" s="1"/>
  <c r="AJ55" i="8" s="1"/>
  <c r="G69" i="7"/>
  <c r="X5" i="8"/>
  <c r="X8" i="8" s="1"/>
  <c r="X55" i="8" s="1"/>
  <c r="G106" i="8"/>
  <c r="M106" i="8" s="1"/>
  <c r="AY8" i="8"/>
  <c r="AY55" i="8" s="1"/>
  <c r="AY5" i="9" s="1"/>
  <c r="G90" i="7"/>
  <c r="M90" i="7" s="1"/>
  <c r="AR8" i="7"/>
  <c r="AR55" i="7" s="1"/>
  <c r="AR5" i="8" s="1"/>
  <c r="G101" i="7"/>
  <c r="M101" i="7" s="1"/>
  <c r="AX8" i="7"/>
  <c r="AX55" i="7" s="1"/>
  <c r="AX5" i="8" s="1"/>
  <c r="G79" i="6"/>
  <c r="AD5" i="7"/>
  <c r="AD8" i="7" s="1"/>
  <c r="AD55" i="7" s="1"/>
  <c r="BG8" i="7"/>
  <c r="BG55" i="7" s="1"/>
  <c r="BG5" i="8" s="1"/>
  <c r="G105" i="7"/>
  <c r="M105" i="7" s="1"/>
  <c r="G93" i="7"/>
  <c r="M93" i="7" s="1"/>
  <c r="BE8" i="7"/>
  <c r="BE55" i="7" s="1"/>
  <c r="BE5" i="8" s="1"/>
  <c r="G67" i="6"/>
  <c r="T5" i="7"/>
  <c r="T8" i="7" s="1"/>
  <c r="T55" i="7" s="1"/>
  <c r="AW8" i="7"/>
  <c r="AW55" i="7" s="1"/>
  <c r="AW5" i="8" s="1"/>
  <c r="G94" i="7"/>
  <c r="M94" i="7" s="1"/>
  <c r="G81" i="6"/>
  <c r="AH5" i="7"/>
  <c r="AH8" i="7" s="1"/>
  <c r="AH55" i="7" s="1"/>
  <c r="G73" i="6"/>
  <c r="L5" i="7"/>
  <c r="L8" i="7" s="1"/>
  <c r="L55" i="7" s="1"/>
  <c r="G78" i="6"/>
  <c r="AB5" i="7"/>
  <c r="AB8" i="7" s="1"/>
  <c r="AB55" i="7" s="1"/>
  <c r="G80" i="6"/>
  <c r="AF5" i="7"/>
  <c r="AF8" i="7" s="1"/>
  <c r="AF55" i="7" s="1"/>
  <c r="AS8" i="7"/>
  <c r="AS55" i="7" s="1"/>
  <c r="AS5" i="8" s="1"/>
  <c r="G96" i="7"/>
  <c r="M96" i="7" s="1"/>
  <c r="G77" i="6"/>
  <c r="Z5" i="7"/>
  <c r="Z8" i="7" s="1"/>
  <c r="Z55" i="7" s="1"/>
  <c r="G68" i="6"/>
  <c r="V5" i="7"/>
  <c r="V8" i="7" s="1"/>
  <c r="V55" i="7" s="1"/>
  <c r="G103" i="7"/>
  <c r="M103" i="7" s="1"/>
  <c r="BJ8" i="7"/>
  <c r="BJ55" i="7" s="1"/>
  <c r="BJ5" i="8" s="1"/>
  <c r="G63" i="6"/>
  <c r="R5" i="7"/>
  <c r="R8" i="7" s="1"/>
  <c r="R55" i="7" s="1"/>
  <c r="G74" i="6"/>
  <c r="M5" i="7"/>
  <c r="M8" i="7" s="1"/>
  <c r="M55" i="7" s="1"/>
  <c r="G91" i="7"/>
  <c r="M91" i="7" s="1"/>
  <c r="BH8" i="7"/>
  <c r="BH55" i="7" s="1"/>
  <c r="BH5" i="8" s="1"/>
  <c r="BI8" i="7"/>
  <c r="BI55" i="7" s="1"/>
  <c r="BI5" i="8" s="1"/>
  <c r="G97" i="7"/>
  <c r="M97" i="7" s="1"/>
  <c r="AT8" i="7"/>
  <c r="AT55" i="7" s="1"/>
  <c r="AT5" i="8" s="1"/>
  <c r="G95" i="7"/>
  <c r="M95" i="7" s="1"/>
  <c r="G100" i="7"/>
  <c r="M100" i="7" s="1"/>
  <c r="BF8" i="7"/>
  <c r="BF55" i="7" s="1"/>
  <c r="BF5" i="8" s="1"/>
  <c r="G102" i="7"/>
  <c r="M102" i="7" s="1"/>
  <c r="AU8" i="7"/>
  <c r="AU55" i="7" s="1"/>
  <c r="AU5" i="8" s="1"/>
  <c r="G61" i="6"/>
  <c r="N5" i="7"/>
  <c r="N8" i="7" s="1"/>
  <c r="N55" i="7" s="1"/>
  <c r="G72" i="6"/>
  <c r="K5" i="7"/>
  <c r="K8" i="7" s="1"/>
  <c r="K55" i="7" s="1"/>
  <c r="G62" i="6"/>
  <c r="P5" i="7"/>
  <c r="P8" i="7" s="1"/>
  <c r="P55" i="7" s="1"/>
  <c r="F8" i="1"/>
  <c r="G100" i="8" l="1"/>
  <c r="M100" i="8" s="1"/>
  <c r="BF8" i="8"/>
  <c r="BF55" i="8" s="1"/>
  <c r="BF5" i="9" s="1"/>
  <c r="G103" i="8"/>
  <c r="M103" i="8" s="1"/>
  <c r="BJ8" i="8"/>
  <c r="BJ55" i="8" s="1"/>
  <c r="BJ5" i="9" s="1"/>
  <c r="G79" i="7"/>
  <c r="AD5" i="8"/>
  <c r="AD8" i="8" s="1"/>
  <c r="AD55" i="8" s="1"/>
  <c r="G101" i="8"/>
  <c r="M101" i="8" s="1"/>
  <c r="AX8" i="8"/>
  <c r="AX55" i="8" s="1"/>
  <c r="AX5" i="9" s="1"/>
  <c r="AT8" i="8"/>
  <c r="AT55" i="8" s="1"/>
  <c r="AT5" i="9" s="1"/>
  <c r="G95" i="8"/>
  <c r="M95" i="8" s="1"/>
  <c r="G62" i="7"/>
  <c r="P5" i="8"/>
  <c r="P8" i="8" s="1"/>
  <c r="P55" i="8" s="1"/>
  <c r="G77" i="7"/>
  <c r="Z5" i="8"/>
  <c r="Z8" i="8" s="1"/>
  <c r="Z55" i="8" s="1"/>
  <c r="AR8" i="8"/>
  <c r="AR55" i="8" s="1"/>
  <c r="AR5" i="9" s="1"/>
  <c r="G90" i="8"/>
  <c r="M90" i="8" s="1"/>
  <c r="BI8" i="8"/>
  <c r="BI55" i="8" s="1"/>
  <c r="BI5" i="9" s="1"/>
  <c r="G97" i="8"/>
  <c r="M97" i="8" s="1"/>
  <c r="G94" i="8"/>
  <c r="M94" i="8" s="1"/>
  <c r="AW8" i="8"/>
  <c r="AW55" i="8" s="1"/>
  <c r="AW5" i="9" s="1"/>
  <c r="G67" i="7"/>
  <c r="T5" i="8"/>
  <c r="T8" i="8" s="1"/>
  <c r="T55" i="8" s="1"/>
  <c r="AY8" i="9"/>
  <c r="AY55" i="9" s="1"/>
  <c r="AY5" i="10" s="1"/>
  <c r="G106" i="9"/>
  <c r="M106" i="9" s="1"/>
  <c r="G81" i="7"/>
  <c r="AH5" i="8"/>
  <c r="AH8" i="8" s="1"/>
  <c r="AH55" i="8" s="1"/>
  <c r="G96" i="8"/>
  <c r="M96" i="8" s="1"/>
  <c r="AS8" i="8"/>
  <c r="AS55" i="8" s="1"/>
  <c r="AS5" i="9" s="1"/>
  <c r="BH8" i="8"/>
  <c r="BH55" i="8" s="1"/>
  <c r="BH5" i="9" s="1"/>
  <c r="G91" i="8"/>
  <c r="M91" i="8" s="1"/>
  <c r="BE8" i="8"/>
  <c r="BE55" i="8" s="1"/>
  <c r="BE5" i="9" s="1"/>
  <c r="G93" i="8"/>
  <c r="M93" i="8" s="1"/>
  <c r="G69" i="8"/>
  <c r="X5" i="9"/>
  <c r="X8" i="9" s="1"/>
  <c r="X55" i="9" s="1"/>
  <c r="G68" i="7"/>
  <c r="V5" i="8"/>
  <c r="V8" i="8" s="1"/>
  <c r="V55" i="8" s="1"/>
  <c r="G61" i="7"/>
  <c r="N5" i="8"/>
  <c r="N8" i="8" s="1"/>
  <c r="N55" i="8" s="1"/>
  <c r="G80" i="7"/>
  <c r="AF5" i="8"/>
  <c r="AF8" i="8" s="1"/>
  <c r="AF55" i="8" s="1"/>
  <c r="G102" i="8"/>
  <c r="M102" i="8" s="1"/>
  <c r="AU8" i="8"/>
  <c r="AU55" i="8" s="1"/>
  <c r="AU5" i="9" s="1"/>
  <c r="G78" i="7"/>
  <c r="AB5" i="8"/>
  <c r="AB8" i="8" s="1"/>
  <c r="AB55" i="8" s="1"/>
  <c r="G82" i="8"/>
  <c r="AJ5" i="9"/>
  <c r="AJ8" i="9" s="1"/>
  <c r="AJ55" i="9" s="1"/>
  <c r="G63" i="7"/>
  <c r="R5" i="8"/>
  <c r="R8" i="8" s="1"/>
  <c r="R55" i="8" s="1"/>
  <c r="G105" i="8"/>
  <c r="M105" i="8" s="1"/>
  <c r="BG8" i="8"/>
  <c r="BG55" i="8" s="1"/>
  <c r="BG5" i="9" s="1"/>
  <c r="G74" i="7"/>
  <c r="M5" i="8"/>
  <c r="M8" i="8" s="1"/>
  <c r="M55" i="8" s="1"/>
  <c r="G73" i="7"/>
  <c r="L5" i="8"/>
  <c r="L8" i="8" s="1"/>
  <c r="L55" i="8" s="1"/>
  <c r="G72" i="7"/>
  <c r="K5" i="8"/>
  <c r="K8" i="8" s="1"/>
  <c r="K55" i="8" s="1"/>
  <c r="F55" i="1"/>
  <c r="F5" i="2" s="1"/>
  <c r="F8" i="2" s="1"/>
  <c r="F55" i="2" s="1"/>
  <c r="F5" i="3" s="1"/>
  <c r="G106" i="10" l="1"/>
  <c r="M106" i="10" s="1"/>
  <c r="AY8" i="10"/>
  <c r="AY55" i="10" s="1"/>
  <c r="AY5" i="11" s="1"/>
  <c r="G82" i="9"/>
  <c r="AJ5" i="10"/>
  <c r="AJ8" i="10" s="1"/>
  <c r="AJ55" i="10" s="1"/>
  <c r="G69" i="9"/>
  <c r="X5" i="10"/>
  <c r="X8" i="10" s="1"/>
  <c r="X55" i="10" s="1"/>
  <c r="G63" i="8"/>
  <c r="R5" i="9"/>
  <c r="R8" i="9" s="1"/>
  <c r="R55" i="9" s="1"/>
  <c r="G68" i="8"/>
  <c r="V5" i="9"/>
  <c r="V8" i="9" s="1"/>
  <c r="V55" i="9" s="1"/>
  <c r="G62" i="8"/>
  <c r="P5" i="9"/>
  <c r="P8" i="9" s="1"/>
  <c r="P55" i="9" s="1"/>
  <c r="AT8" i="9"/>
  <c r="AT55" i="9" s="1"/>
  <c r="AT5" i="10" s="1"/>
  <c r="G95" i="9"/>
  <c r="G67" i="8"/>
  <c r="T5" i="9"/>
  <c r="T8" i="9" s="1"/>
  <c r="T55" i="9" s="1"/>
  <c r="G72" i="8"/>
  <c r="K5" i="9"/>
  <c r="K8" i="9" s="1"/>
  <c r="K55" i="9" s="1"/>
  <c r="G78" i="8"/>
  <c r="AB5" i="9"/>
  <c r="AB8" i="9" s="1"/>
  <c r="AB55" i="9" s="1"/>
  <c r="G94" i="9"/>
  <c r="M94" i="9" s="1"/>
  <c r="AW8" i="9"/>
  <c r="AW55" i="9" s="1"/>
  <c r="AW5" i="10" s="1"/>
  <c r="G101" i="9"/>
  <c r="M101" i="9" s="1"/>
  <c r="AX8" i="9"/>
  <c r="AX55" i="9" s="1"/>
  <c r="AX5" i="10" s="1"/>
  <c r="G93" i="9"/>
  <c r="M93" i="9" s="1"/>
  <c r="BE8" i="9"/>
  <c r="BE55" i="9" s="1"/>
  <c r="BE5" i="10" s="1"/>
  <c r="G79" i="8"/>
  <c r="AD5" i="9"/>
  <c r="AD8" i="9" s="1"/>
  <c r="AD55" i="9" s="1"/>
  <c r="G91" i="9"/>
  <c r="M91" i="9" s="1"/>
  <c r="BH8" i="9"/>
  <c r="BH55" i="9" s="1"/>
  <c r="BH5" i="10" s="1"/>
  <c r="BI8" i="9"/>
  <c r="BI55" i="9" s="1"/>
  <c r="BI5" i="10" s="1"/>
  <c r="G97" i="9"/>
  <c r="M97" i="9" s="1"/>
  <c r="G80" i="8"/>
  <c r="AF5" i="9"/>
  <c r="AF8" i="9" s="1"/>
  <c r="AF55" i="9" s="1"/>
  <c r="G96" i="9"/>
  <c r="M96" i="9" s="1"/>
  <c r="AS8" i="9"/>
  <c r="AS55" i="9" s="1"/>
  <c r="AS5" i="10" s="1"/>
  <c r="G103" i="9"/>
  <c r="M103" i="9" s="1"/>
  <c r="BJ8" i="9"/>
  <c r="BJ55" i="9" s="1"/>
  <c r="BJ5" i="10" s="1"/>
  <c r="G74" i="8"/>
  <c r="M5" i="9"/>
  <c r="M8" i="9" s="1"/>
  <c r="M55" i="9" s="1"/>
  <c r="G90" i="9"/>
  <c r="AR8" i="9"/>
  <c r="AR55" i="9" s="1"/>
  <c r="AR5" i="10" s="1"/>
  <c r="AU8" i="9"/>
  <c r="AU55" i="9" s="1"/>
  <c r="AU5" i="10" s="1"/>
  <c r="G102" i="9"/>
  <c r="BG8" i="9"/>
  <c r="BG55" i="9" s="1"/>
  <c r="BG5" i="10" s="1"/>
  <c r="G105" i="9"/>
  <c r="M105" i="9" s="1"/>
  <c r="G81" i="8"/>
  <c r="AH5" i="9"/>
  <c r="AH8" i="9" s="1"/>
  <c r="AH55" i="9" s="1"/>
  <c r="G77" i="8"/>
  <c r="Z5" i="9"/>
  <c r="Z8" i="9" s="1"/>
  <c r="Z55" i="9" s="1"/>
  <c r="BF8" i="9"/>
  <c r="BF55" i="9" s="1"/>
  <c r="BF5" i="10" s="1"/>
  <c r="G100" i="9"/>
  <c r="M100" i="9" s="1"/>
  <c r="G73" i="8"/>
  <c r="L5" i="9"/>
  <c r="L8" i="9" s="1"/>
  <c r="L55" i="9" s="1"/>
  <c r="G61" i="8"/>
  <c r="N5" i="9"/>
  <c r="N8" i="9" s="1"/>
  <c r="N55" i="9" s="1"/>
  <c r="F8" i="3"/>
  <c r="BD5" i="1"/>
  <c r="G69" i="10" l="1"/>
  <c r="X5" i="11"/>
  <c r="X8" i="11" s="1"/>
  <c r="X55" i="11" s="1"/>
  <c r="G82" i="10"/>
  <c r="AJ5" i="11"/>
  <c r="AJ8" i="11" s="1"/>
  <c r="AJ55" i="11" s="1"/>
  <c r="G106" i="11"/>
  <c r="M106" i="11" s="1"/>
  <c r="AY8" i="11"/>
  <c r="AY55" i="11" s="1"/>
  <c r="AY5" i="12" s="1"/>
  <c r="G101" i="10"/>
  <c r="M101" i="10" s="1"/>
  <c r="AX8" i="10"/>
  <c r="AX55" i="10" s="1"/>
  <c r="AX5" i="11" s="1"/>
  <c r="G63" i="9"/>
  <c r="R5" i="10"/>
  <c r="R8" i="10" s="1"/>
  <c r="R55" i="10" s="1"/>
  <c r="G62" i="9"/>
  <c r="P5" i="10"/>
  <c r="P8" i="10" s="1"/>
  <c r="P55" i="10" s="1"/>
  <c r="AU8" i="10"/>
  <c r="AU55" i="10" s="1"/>
  <c r="AU5" i="11" s="1"/>
  <c r="G102" i="10"/>
  <c r="M102" i="10" s="1"/>
  <c r="G96" i="10"/>
  <c r="M96" i="10" s="1"/>
  <c r="AS8" i="10"/>
  <c r="AS55" i="10" s="1"/>
  <c r="AS5" i="11" s="1"/>
  <c r="G80" i="9"/>
  <c r="AF5" i="10"/>
  <c r="AF8" i="10" s="1"/>
  <c r="AF55" i="10" s="1"/>
  <c r="AW8" i="10"/>
  <c r="AW55" i="10" s="1"/>
  <c r="AW5" i="11" s="1"/>
  <c r="G94" i="10"/>
  <c r="M94" i="10" s="1"/>
  <c r="G61" i="9"/>
  <c r="N5" i="10"/>
  <c r="N8" i="10" s="1"/>
  <c r="N55" i="10" s="1"/>
  <c r="G81" i="9"/>
  <c r="AH5" i="10"/>
  <c r="AH8" i="10" s="1"/>
  <c r="AH55" i="10" s="1"/>
  <c r="G67" i="9"/>
  <c r="T5" i="10"/>
  <c r="T8" i="10" s="1"/>
  <c r="T55" i="10" s="1"/>
  <c r="G105" i="10"/>
  <c r="M105" i="10" s="1"/>
  <c r="BG8" i="10"/>
  <c r="BG55" i="10" s="1"/>
  <c r="BG5" i="11" s="1"/>
  <c r="AR8" i="10"/>
  <c r="AR55" i="10" s="1"/>
  <c r="AR5" i="11" s="1"/>
  <c r="G90" i="10"/>
  <c r="M90" i="10" s="1"/>
  <c r="G78" i="9"/>
  <c r="AB5" i="10"/>
  <c r="AB8" i="10" s="1"/>
  <c r="AB55" i="10" s="1"/>
  <c r="G72" i="9"/>
  <c r="K5" i="10"/>
  <c r="K8" i="10" s="1"/>
  <c r="K55" i="10" s="1"/>
  <c r="BE8" i="10"/>
  <c r="BE55" i="10" s="1"/>
  <c r="BE5" i="11" s="1"/>
  <c r="G93" i="10"/>
  <c r="M93" i="10" s="1"/>
  <c r="G68" i="9"/>
  <c r="V5" i="10"/>
  <c r="V8" i="10" s="1"/>
  <c r="V55" i="10" s="1"/>
  <c r="G97" i="10"/>
  <c r="M97" i="10" s="1"/>
  <c r="BI8" i="10"/>
  <c r="BI55" i="10" s="1"/>
  <c r="BI5" i="11" s="1"/>
  <c r="BH8" i="10"/>
  <c r="BH55" i="10" s="1"/>
  <c r="BH5" i="11" s="1"/>
  <c r="G91" i="10"/>
  <c r="M91" i="10" s="1"/>
  <c r="G79" i="9"/>
  <c r="AD5" i="10"/>
  <c r="AD8" i="10" s="1"/>
  <c r="AD55" i="10" s="1"/>
  <c r="G100" i="10"/>
  <c r="M100" i="10" s="1"/>
  <c r="BF8" i="10"/>
  <c r="BF55" i="10" s="1"/>
  <c r="BF5" i="11" s="1"/>
  <c r="G77" i="9"/>
  <c r="Z5" i="10"/>
  <c r="Z8" i="10" s="1"/>
  <c r="Z55" i="10" s="1"/>
  <c r="BJ8" i="10"/>
  <c r="BJ55" i="10" s="1"/>
  <c r="BJ5" i="11" s="1"/>
  <c r="G103" i="10"/>
  <c r="M103" i="10" s="1"/>
  <c r="G95" i="10"/>
  <c r="M95" i="10" s="1"/>
  <c r="AT8" i="10"/>
  <c r="AT55" i="10" s="1"/>
  <c r="AT5" i="11" s="1"/>
  <c r="G74" i="9"/>
  <c r="M5" i="10"/>
  <c r="M8" i="10" s="1"/>
  <c r="M55" i="10" s="1"/>
  <c r="G73" i="9"/>
  <c r="L5" i="10"/>
  <c r="L8" i="10" s="1"/>
  <c r="L55" i="10" s="1"/>
  <c r="M95" i="9"/>
  <c r="M90" i="9"/>
  <c r="M102" i="9"/>
  <c r="F55" i="3"/>
  <c r="F5" i="4" s="1"/>
  <c r="F8" i="4" s="1"/>
  <c r="F55" i="4" s="1"/>
  <c r="F5" i="5" s="1"/>
  <c r="F8" i="5" s="1"/>
  <c r="F55" i="5" s="1"/>
  <c r="F5" i="6" s="1"/>
  <c r="F8" i="6" s="1"/>
  <c r="F55" i="6" s="1"/>
  <c r="F5" i="7" s="1"/>
  <c r="F8" i="7" s="1"/>
  <c r="F55" i="7" s="1"/>
  <c r="F5" i="8" s="1"/>
  <c r="BD8" i="1"/>
  <c r="BD55" i="1" s="1"/>
  <c r="BD5" i="2" s="1"/>
  <c r="G104" i="1"/>
  <c r="BB5" i="1"/>
  <c r="BC5" i="1"/>
  <c r="E5" i="1"/>
  <c r="E8" i="1" s="1"/>
  <c r="E55" i="1" s="1"/>
  <c r="E5" i="2" s="1"/>
  <c r="E8" i="2" s="1"/>
  <c r="E55" i="2" s="1"/>
  <c r="E5" i="3" s="1"/>
  <c r="E8" i="3" s="1"/>
  <c r="E55" i="3" s="1"/>
  <c r="E5" i="4" s="1"/>
  <c r="G77" i="10" l="1"/>
  <c r="Z5" i="11"/>
  <c r="Z8" i="11" s="1"/>
  <c r="Z55" i="11" s="1"/>
  <c r="G81" i="10"/>
  <c r="AH5" i="11"/>
  <c r="AH8" i="11" s="1"/>
  <c r="AH55" i="11" s="1"/>
  <c r="G62" i="10"/>
  <c r="P5" i="11"/>
  <c r="P8" i="11" s="1"/>
  <c r="P55" i="11" s="1"/>
  <c r="G93" i="11"/>
  <c r="M93" i="11" s="1"/>
  <c r="BE8" i="11"/>
  <c r="BE55" i="11" s="1"/>
  <c r="BE5" i="12" s="1"/>
  <c r="G63" i="10"/>
  <c r="R5" i="11"/>
  <c r="R8" i="11" s="1"/>
  <c r="R55" i="11" s="1"/>
  <c r="BF8" i="11"/>
  <c r="BF55" i="11" s="1"/>
  <c r="BF5" i="12" s="1"/>
  <c r="G100" i="11"/>
  <c r="M100" i="11" s="1"/>
  <c r="G61" i="10"/>
  <c r="N5" i="11"/>
  <c r="N8" i="11" s="1"/>
  <c r="N55" i="11" s="1"/>
  <c r="G73" i="10"/>
  <c r="L5" i="11"/>
  <c r="L8" i="11" s="1"/>
  <c r="L55" i="11" s="1"/>
  <c r="G79" i="10"/>
  <c r="AD5" i="11"/>
  <c r="AD8" i="11" s="1"/>
  <c r="AD55" i="11" s="1"/>
  <c r="AX8" i="11"/>
  <c r="AX55" i="11" s="1"/>
  <c r="AX5" i="12" s="1"/>
  <c r="G101" i="11"/>
  <c r="M101" i="11" s="1"/>
  <c r="G72" i="10"/>
  <c r="K5" i="11"/>
  <c r="K8" i="11" s="1"/>
  <c r="K55" i="11" s="1"/>
  <c r="G78" i="10"/>
  <c r="AB5" i="11"/>
  <c r="AB8" i="11" s="1"/>
  <c r="AB55" i="11" s="1"/>
  <c r="AW8" i="11"/>
  <c r="AW55" i="11" s="1"/>
  <c r="AW5" i="12" s="1"/>
  <c r="G94" i="11"/>
  <c r="M94" i="11" s="1"/>
  <c r="G106" i="12"/>
  <c r="M106" i="12" s="1"/>
  <c r="AY8" i="12"/>
  <c r="AY55" i="12" s="1"/>
  <c r="AY5" i="13" s="1"/>
  <c r="G74" i="10"/>
  <c r="M5" i="11"/>
  <c r="M8" i="11" s="1"/>
  <c r="M55" i="11" s="1"/>
  <c r="G91" i="11"/>
  <c r="M91" i="11" s="1"/>
  <c r="BH8" i="11"/>
  <c r="BH55" i="11" s="1"/>
  <c r="BH5" i="12" s="1"/>
  <c r="AR8" i="11"/>
  <c r="AR55" i="11" s="1"/>
  <c r="AR5" i="12" s="1"/>
  <c r="G90" i="11"/>
  <c r="M90" i="11" s="1"/>
  <c r="G97" i="11"/>
  <c r="M97" i="11" s="1"/>
  <c r="BI8" i="11"/>
  <c r="BI55" i="11" s="1"/>
  <c r="BI5" i="12" s="1"/>
  <c r="BG8" i="11"/>
  <c r="BG55" i="11" s="1"/>
  <c r="BG5" i="12" s="1"/>
  <c r="G105" i="11"/>
  <c r="M105" i="11" s="1"/>
  <c r="AS8" i="11"/>
  <c r="AS55" i="11" s="1"/>
  <c r="AS5" i="12" s="1"/>
  <c r="G96" i="11"/>
  <c r="M96" i="11" s="1"/>
  <c r="G82" i="11"/>
  <c r="AJ5" i="12"/>
  <c r="AJ8" i="12" s="1"/>
  <c r="AJ55" i="12" s="1"/>
  <c r="G95" i="11"/>
  <c r="M95" i="11" s="1"/>
  <c r="AT8" i="11"/>
  <c r="AT55" i="11" s="1"/>
  <c r="AT5" i="12" s="1"/>
  <c r="G68" i="10"/>
  <c r="V5" i="11"/>
  <c r="V8" i="11" s="1"/>
  <c r="V55" i="11" s="1"/>
  <c r="G67" i="10"/>
  <c r="T5" i="11"/>
  <c r="T8" i="11" s="1"/>
  <c r="T55" i="11" s="1"/>
  <c r="X5" i="12"/>
  <c r="X8" i="12" s="1"/>
  <c r="X55" i="12" s="1"/>
  <c r="G69" i="11"/>
  <c r="G80" i="10"/>
  <c r="AF5" i="11"/>
  <c r="AF8" i="11" s="1"/>
  <c r="AF55" i="11" s="1"/>
  <c r="BJ8" i="11"/>
  <c r="BJ55" i="11" s="1"/>
  <c r="BJ5" i="12" s="1"/>
  <c r="G103" i="11"/>
  <c r="M103" i="11" s="1"/>
  <c r="G102" i="11"/>
  <c r="M102" i="11" s="1"/>
  <c r="AU8" i="11"/>
  <c r="AU55" i="11" s="1"/>
  <c r="AU5" i="12" s="1"/>
  <c r="F8" i="8"/>
  <c r="E8" i="4"/>
  <c r="G104" i="2"/>
  <c r="BD8" i="2"/>
  <c r="BD55" i="2" s="1"/>
  <c r="BD5" i="3" s="1"/>
  <c r="M104" i="1"/>
  <c r="M110" i="1" s="1"/>
  <c r="G110" i="1"/>
  <c r="G99" i="1"/>
  <c r="M99" i="1" s="1"/>
  <c r="BB8" i="1"/>
  <c r="BB55" i="1" s="1"/>
  <c r="BB5" i="2" s="1"/>
  <c r="BC8" i="1"/>
  <c r="BC55" i="1" s="1"/>
  <c r="BC5" i="2" s="1"/>
  <c r="G98" i="1"/>
  <c r="G78" i="11" l="1"/>
  <c r="AB5" i="12"/>
  <c r="AB8" i="12" s="1"/>
  <c r="AB55" i="12" s="1"/>
  <c r="G100" i="12"/>
  <c r="M100" i="12" s="1"/>
  <c r="BF8" i="12"/>
  <c r="BF55" i="12" s="1"/>
  <c r="BF5" i="13" s="1"/>
  <c r="G72" i="11"/>
  <c r="K5" i="12"/>
  <c r="K8" i="12" s="1"/>
  <c r="K55" i="12" s="1"/>
  <c r="G97" i="12"/>
  <c r="M97" i="12" s="1"/>
  <c r="BI8" i="12"/>
  <c r="BI55" i="12" s="1"/>
  <c r="BI5" i="13" s="1"/>
  <c r="G63" i="11"/>
  <c r="R5" i="12"/>
  <c r="R8" i="12" s="1"/>
  <c r="R55" i="12" s="1"/>
  <c r="G90" i="12"/>
  <c r="M90" i="12" s="1"/>
  <c r="AR8" i="12"/>
  <c r="AR55" i="12" s="1"/>
  <c r="AR5" i="13" s="1"/>
  <c r="AU8" i="12"/>
  <c r="AU55" i="12" s="1"/>
  <c r="AU5" i="13" s="1"/>
  <c r="G102" i="12"/>
  <c r="M102" i="12" s="1"/>
  <c r="G95" i="12"/>
  <c r="M95" i="12" s="1"/>
  <c r="AT8" i="12"/>
  <c r="AT55" i="12" s="1"/>
  <c r="AT5" i="13" s="1"/>
  <c r="G91" i="12"/>
  <c r="M91" i="12" s="1"/>
  <c r="BH8" i="12"/>
  <c r="BH55" i="12" s="1"/>
  <c r="BH5" i="13" s="1"/>
  <c r="BE8" i="12"/>
  <c r="BE55" i="12" s="1"/>
  <c r="BE5" i="13" s="1"/>
  <c r="G93" i="12"/>
  <c r="M93" i="12" s="1"/>
  <c r="G67" i="11"/>
  <c r="T5" i="12"/>
  <c r="T8" i="12" s="1"/>
  <c r="T55" i="12" s="1"/>
  <c r="G101" i="12"/>
  <c r="M101" i="12" s="1"/>
  <c r="AX8" i="12"/>
  <c r="AX55" i="12" s="1"/>
  <c r="AX5" i="13" s="1"/>
  <c r="G74" i="11"/>
  <c r="M5" i="12"/>
  <c r="M8" i="12" s="1"/>
  <c r="M55" i="12" s="1"/>
  <c r="G79" i="11"/>
  <c r="AD5" i="12"/>
  <c r="AD8" i="12" s="1"/>
  <c r="AD55" i="12" s="1"/>
  <c r="G62" i="11"/>
  <c r="P5" i="12"/>
  <c r="P8" i="12" s="1"/>
  <c r="P55" i="12" s="1"/>
  <c r="G82" i="12"/>
  <c r="AJ5" i="13"/>
  <c r="AJ8" i="13" s="1"/>
  <c r="AJ55" i="13" s="1"/>
  <c r="G103" i="12"/>
  <c r="M103" i="12" s="1"/>
  <c r="BJ8" i="12"/>
  <c r="BJ55" i="12" s="1"/>
  <c r="BJ5" i="13" s="1"/>
  <c r="G80" i="11"/>
  <c r="AF5" i="12"/>
  <c r="AF8" i="12" s="1"/>
  <c r="AF55" i="12" s="1"/>
  <c r="G73" i="11"/>
  <c r="L5" i="12"/>
  <c r="L8" i="12" s="1"/>
  <c r="L55" i="12" s="1"/>
  <c r="G81" i="11"/>
  <c r="AH5" i="12"/>
  <c r="AH8" i="12" s="1"/>
  <c r="AH55" i="12" s="1"/>
  <c r="G68" i="11"/>
  <c r="V5" i="12"/>
  <c r="V8" i="12" s="1"/>
  <c r="V55" i="12" s="1"/>
  <c r="G96" i="12"/>
  <c r="M96" i="12" s="1"/>
  <c r="AS8" i="12"/>
  <c r="AS55" i="12" s="1"/>
  <c r="AS5" i="13" s="1"/>
  <c r="G106" i="13"/>
  <c r="M106" i="13" s="1"/>
  <c r="AY8" i="13"/>
  <c r="AY55" i="13" s="1"/>
  <c r="AY5" i="14" s="1"/>
  <c r="G61" i="11"/>
  <c r="N5" i="12"/>
  <c r="N8" i="12" s="1"/>
  <c r="N55" i="12" s="1"/>
  <c r="G77" i="11"/>
  <c r="Z5" i="12"/>
  <c r="Z8" i="12" s="1"/>
  <c r="Z55" i="12" s="1"/>
  <c r="G69" i="12"/>
  <c r="X5" i="13"/>
  <c r="X8" i="13" s="1"/>
  <c r="X55" i="13" s="1"/>
  <c r="BG8" i="12"/>
  <c r="BG55" i="12" s="1"/>
  <c r="BG5" i="13" s="1"/>
  <c r="G105" i="12"/>
  <c r="M105" i="12" s="1"/>
  <c r="G94" i="12"/>
  <c r="M94" i="12" s="1"/>
  <c r="AW8" i="12"/>
  <c r="AW55" i="12" s="1"/>
  <c r="AW5" i="13" s="1"/>
  <c r="F55" i="8"/>
  <c r="F5" i="9" s="1"/>
  <c r="F8" i="9" s="1"/>
  <c r="F55" i="9" s="1"/>
  <c r="F5" i="10" s="1"/>
  <c r="F8" i="10" s="1"/>
  <c r="F55" i="10" s="1"/>
  <c r="F5" i="11" s="1"/>
  <c r="F8" i="11" s="1"/>
  <c r="F55" i="11" s="1"/>
  <c r="F5" i="12" s="1"/>
  <c r="F8" i="12" s="1"/>
  <c r="F55" i="12" s="1"/>
  <c r="F5" i="13" s="1"/>
  <c r="F8" i="13" s="1"/>
  <c r="F55" i="13" s="1"/>
  <c r="F5" i="14" s="1"/>
  <c r="F8" i="14" s="1"/>
  <c r="F55" i="14" s="1"/>
  <c r="F5" i="15" s="1"/>
  <c r="F8" i="15" s="1"/>
  <c r="F55" i="15" s="1"/>
  <c r="F5" i="16" s="1"/>
  <c r="F8" i="16" s="1"/>
  <c r="F55" i="16" s="1"/>
  <c r="F5" i="17" s="1"/>
  <c r="F8" i="17" s="1"/>
  <c r="F55" i="17" s="1"/>
  <c r="F5" i="18" s="1"/>
  <c r="F8" i="18" s="1"/>
  <c r="F55" i="18" s="1"/>
  <c r="F5" i="19" s="1"/>
  <c r="F8" i="19" s="1"/>
  <c r="F55" i="19" s="1"/>
  <c r="F5" i="20" s="1"/>
  <c r="E55" i="4"/>
  <c r="E5" i="5" s="1"/>
  <c r="BD8" i="3"/>
  <c r="BD55" i="3" s="1"/>
  <c r="BD5" i="4" s="1"/>
  <c r="G104" i="3"/>
  <c r="G99" i="2"/>
  <c r="M99" i="2" s="1"/>
  <c r="BB8" i="2"/>
  <c r="BB55" i="2" s="1"/>
  <c r="BB5" i="3" s="1"/>
  <c r="G98" i="2"/>
  <c r="BC8" i="2"/>
  <c r="BC55" i="2" s="1"/>
  <c r="BC5" i="3" s="1"/>
  <c r="M104" i="2"/>
  <c r="M110" i="2" s="1"/>
  <c r="G110" i="2"/>
  <c r="M98" i="1"/>
  <c r="M109" i="1" s="1"/>
  <c r="G109" i="1"/>
  <c r="F8" i="20" l="1"/>
  <c r="AX8" i="13"/>
  <c r="AX55" i="13" s="1"/>
  <c r="AX5" i="14" s="1"/>
  <c r="G101" i="13"/>
  <c r="M101" i="13" s="1"/>
  <c r="G90" i="13"/>
  <c r="M90" i="13" s="1"/>
  <c r="AR8" i="13"/>
  <c r="AR55" i="13" s="1"/>
  <c r="AR5" i="14" s="1"/>
  <c r="G106" i="14"/>
  <c r="M106" i="14" s="1"/>
  <c r="AY8" i="14"/>
  <c r="AY55" i="14" s="1"/>
  <c r="AY5" i="15" s="1"/>
  <c r="G67" i="12"/>
  <c r="T5" i="13"/>
  <c r="T8" i="13" s="1"/>
  <c r="T55" i="13" s="1"/>
  <c r="G61" i="12"/>
  <c r="N5" i="13"/>
  <c r="N8" i="13" s="1"/>
  <c r="N55" i="13" s="1"/>
  <c r="G96" i="13"/>
  <c r="M96" i="13" s="1"/>
  <c r="AS8" i="13"/>
  <c r="AS55" i="13" s="1"/>
  <c r="AS5" i="14" s="1"/>
  <c r="G82" i="13"/>
  <c r="AJ5" i="14"/>
  <c r="AJ8" i="14" s="1"/>
  <c r="AJ55" i="14" s="1"/>
  <c r="G97" i="13"/>
  <c r="M97" i="13" s="1"/>
  <c r="BI8" i="13"/>
  <c r="BI55" i="13" s="1"/>
  <c r="BI5" i="14" s="1"/>
  <c r="BE8" i="13"/>
  <c r="BE55" i="13" s="1"/>
  <c r="BE5" i="14" s="1"/>
  <c r="G93" i="13"/>
  <c r="M93" i="13" s="1"/>
  <c r="G68" i="12"/>
  <c r="V5" i="13"/>
  <c r="V8" i="13" s="1"/>
  <c r="V55" i="13" s="1"/>
  <c r="G72" i="12"/>
  <c r="K5" i="13"/>
  <c r="K8" i="13" s="1"/>
  <c r="K55" i="13" s="1"/>
  <c r="BJ8" i="13"/>
  <c r="BJ55" i="13" s="1"/>
  <c r="BJ5" i="14" s="1"/>
  <c r="G103" i="13"/>
  <c r="M103" i="13" s="1"/>
  <c r="G81" i="12"/>
  <c r="AH5" i="13"/>
  <c r="AH8" i="13" s="1"/>
  <c r="AH55" i="13" s="1"/>
  <c r="G95" i="13"/>
  <c r="M95" i="13" s="1"/>
  <c r="AT8" i="13"/>
  <c r="AT55" i="13" s="1"/>
  <c r="AT5" i="14" s="1"/>
  <c r="G100" i="13"/>
  <c r="M100" i="13" s="1"/>
  <c r="BF8" i="13"/>
  <c r="BF55" i="13" s="1"/>
  <c r="BF5" i="14" s="1"/>
  <c r="G105" i="13"/>
  <c r="M105" i="13" s="1"/>
  <c r="BG8" i="13"/>
  <c r="BG55" i="13" s="1"/>
  <c r="BG5" i="14" s="1"/>
  <c r="AW8" i="13"/>
  <c r="AW55" i="13" s="1"/>
  <c r="AW5" i="14" s="1"/>
  <c r="G94" i="13"/>
  <c r="M94" i="13" s="1"/>
  <c r="G91" i="13"/>
  <c r="M91" i="13" s="1"/>
  <c r="BH8" i="13"/>
  <c r="BH55" i="13" s="1"/>
  <c r="BH5" i="14" s="1"/>
  <c r="G74" i="12"/>
  <c r="M5" i="13"/>
  <c r="M8" i="13" s="1"/>
  <c r="M55" i="13" s="1"/>
  <c r="G78" i="12"/>
  <c r="AB5" i="13"/>
  <c r="AB8" i="13" s="1"/>
  <c r="AB55" i="13" s="1"/>
  <c r="G80" i="12"/>
  <c r="AF5" i="13"/>
  <c r="AF8" i="13" s="1"/>
  <c r="AF55" i="13" s="1"/>
  <c r="G63" i="12"/>
  <c r="R5" i="13"/>
  <c r="R8" i="13" s="1"/>
  <c r="R55" i="13" s="1"/>
  <c r="G62" i="12"/>
  <c r="P5" i="13"/>
  <c r="P8" i="13" s="1"/>
  <c r="P55" i="13" s="1"/>
  <c r="G69" i="13"/>
  <c r="X5" i="14"/>
  <c r="X8" i="14" s="1"/>
  <c r="X55" i="14" s="1"/>
  <c r="G79" i="12"/>
  <c r="AD5" i="13"/>
  <c r="AD8" i="13" s="1"/>
  <c r="AD55" i="13" s="1"/>
  <c r="G77" i="12"/>
  <c r="Z5" i="13"/>
  <c r="Z8" i="13" s="1"/>
  <c r="Z55" i="13" s="1"/>
  <c r="G73" i="12"/>
  <c r="L5" i="13"/>
  <c r="L8" i="13" s="1"/>
  <c r="L55" i="13" s="1"/>
  <c r="G102" i="13"/>
  <c r="M102" i="13" s="1"/>
  <c r="AU8" i="13"/>
  <c r="AU55" i="13" s="1"/>
  <c r="AU5" i="14" s="1"/>
  <c r="E8" i="5"/>
  <c r="G104" i="4"/>
  <c r="BD8" i="4"/>
  <c r="BD55" i="4" s="1"/>
  <c r="BD5" i="5" s="1"/>
  <c r="M104" i="3"/>
  <c r="M110" i="3" s="1"/>
  <c r="G110" i="3"/>
  <c r="G99" i="3"/>
  <c r="M99" i="3" s="1"/>
  <c r="BB8" i="3"/>
  <c r="BB55" i="3" s="1"/>
  <c r="BB5" i="4" s="1"/>
  <c r="BC8" i="3"/>
  <c r="BC55" i="3" s="1"/>
  <c r="BC5" i="4" s="1"/>
  <c r="G98" i="3"/>
  <c r="M98" i="2"/>
  <c r="M109" i="2" s="1"/>
  <c r="G109" i="2"/>
  <c r="BA5" i="1"/>
  <c r="F55" i="20" l="1"/>
  <c r="F5" i="21" s="1"/>
  <c r="F8" i="21" s="1"/>
  <c r="F55" i="21" s="1"/>
  <c r="F5" i="22" s="1"/>
  <c r="AS8" i="14"/>
  <c r="AS55" i="14" s="1"/>
  <c r="AS5" i="15" s="1"/>
  <c r="G96" i="14"/>
  <c r="M96" i="14" s="1"/>
  <c r="G61" i="13"/>
  <c r="N5" i="14"/>
  <c r="N8" i="14" s="1"/>
  <c r="N55" i="14" s="1"/>
  <c r="G69" i="14"/>
  <c r="X5" i="15"/>
  <c r="X8" i="15" s="1"/>
  <c r="X55" i="15" s="1"/>
  <c r="G94" i="14"/>
  <c r="M94" i="14" s="1"/>
  <c r="AW8" i="14"/>
  <c r="AW55" i="14" s="1"/>
  <c r="AW5" i="15" s="1"/>
  <c r="G102" i="14"/>
  <c r="M102" i="14" s="1"/>
  <c r="AU8" i="14"/>
  <c r="AU55" i="14" s="1"/>
  <c r="AU5" i="15" s="1"/>
  <c r="G63" i="13"/>
  <c r="R5" i="14"/>
  <c r="R8" i="14" s="1"/>
  <c r="R55" i="14" s="1"/>
  <c r="BG8" i="14"/>
  <c r="BG55" i="14" s="1"/>
  <c r="BG5" i="15" s="1"/>
  <c r="G105" i="14"/>
  <c r="M105" i="14" s="1"/>
  <c r="G68" i="13"/>
  <c r="V5" i="14"/>
  <c r="V8" i="14" s="1"/>
  <c r="V55" i="14" s="1"/>
  <c r="G67" i="13"/>
  <c r="T5" i="14"/>
  <c r="T8" i="14" s="1"/>
  <c r="T55" i="14" s="1"/>
  <c r="G103" i="14"/>
  <c r="M103" i="14" s="1"/>
  <c r="BJ8" i="14"/>
  <c r="BJ55" i="14" s="1"/>
  <c r="BJ5" i="15" s="1"/>
  <c r="AY8" i="15"/>
  <c r="AY55" i="15" s="1"/>
  <c r="AY5" i="16" s="1"/>
  <c r="G106" i="15"/>
  <c r="M106" i="15" s="1"/>
  <c r="G91" i="14"/>
  <c r="M91" i="14" s="1"/>
  <c r="BH8" i="14"/>
  <c r="BH55" i="14" s="1"/>
  <c r="BH5" i="15" s="1"/>
  <c r="G72" i="13"/>
  <c r="K5" i="14"/>
  <c r="K8" i="14" s="1"/>
  <c r="K55" i="14" s="1"/>
  <c r="G80" i="13"/>
  <c r="AF5" i="14"/>
  <c r="AF8" i="14" s="1"/>
  <c r="AF55" i="14" s="1"/>
  <c r="G77" i="13"/>
  <c r="Z5" i="14"/>
  <c r="Z8" i="14" s="1"/>
  <c r="Z55" i="14" s="1"/>
  <c r="G97" i="14"/>
  <c r="M97" i="14" s="1"/>
  <c r="BI8" i="14"/>
  <c r="BI55" i="14" s="1"/>
  <c r="BI5" i="15" s="1"/>
  <c r="AR8" i="14"/>
  <c r="AR55" i="14" s="1"/>
  <c r="AR5" i="15" s="1"/>
  <c r="G90" i="14"/>
  <c r="M90" i="14" s="1"/>
  <c r="G62" i="13"/>
  <c r="P5" i="14"/>
  <c r="P8" i="14" s="1"/>
  <c r="P55" i="14" s="1"/>
  <c r="G73" i="13"/>
  <c r="L5" i="14"/>
  <c r="L8" i="14" s="1"/>
  <c r="L55" i="14" s="1"/>
  <c r="AT8" i="14"/>
  <c r="AT55" i="14" s="1"/>
  <c r="AT5" i="15" s="1"/>
  <c r="G95" i="14"/>
  <c r="M95" i="14" s="1"/>
  <c r="G82" i="14"/>
  <c r="AJ5" i="15"/>
  <c r="AJ8" i="15" s="1"/>
  <c r="AJ55" i="15" s="1"/>
  <c r="BF8" i="14"/>
  <c r="BF55" i="14" s="1"/>
  <c r="BF5" i="15" s="1"/>
  <c r="G100" i="14"/>
  <c r="M100" i="14" s="1"/>
  <c r="BE8" i="14"/>
  <c r="BE55" i="14" s="1"/>
  <c r="BE5" i="15" s="1"/>
  <c r="G93" i="14"/>
  <c r="M93" i="14" s="1"/>
  <c r="G78" i="13"/>
  <c r="AB5" i="14"/>
  <c r="AB8" i="14" s="1"/>
  <c r="AB55" i="14" s="1"/>
  <c r="G79" i="13"/>
  <c r="AD5" i="14"/>
  <c r="AD8" i="14" s="1"/>
  <c r="AD55" i="14" s="1"/>
  <c r="G74" i="13"/>
  <c r="M5" i="14"/>
  <c r="M8" i="14" s="1"/>
  <c r="M55" i="14" s="1"/>
  <c r="G81" i="13"/>
  <c r="AH5" i="14"/>
  <c r="AH8" i="14" s="1"/>
  <c r="AH55" i="14" s="1"/>
  <c r="G101" i="14"/>
  <c r="M101" i="14" s="1"/>
  <c r="AX8" i="14"/>
  <c r="AX55" i="14" s="1"/>
  <c r="AX5" i="15" s="1"/>
  <c r="BD8" i="5"/>
  <c r="BD55" i="5" s="1"/>
  <c r="BD5" i="6" s="1"/>
  <c r="G104" i="5"/>
  <c r="E55" i="5"/>
  <c r="E5" i="6" s="1"/>
  <c r="G110" i="4"/>
  <c r="M104" i="4"/>
  <c r="M110" i="4" s="1"/>
  <c r="G99" i="4"/>
  <c r="M99" i="4" s="1"/>
  <c r="BB8" i="4"/>
  <c r="BB55" i="4" s="1"/>
  <c r="BB5" i="5" s="1"/>
  <c r="BC8" i="4"/>
  <c r="BC55" i="4" s="1"/>
  <c r="BC5" i="5" s="1"/>
  <c r="G98" i="4"/>
  <c r="M98" i="3"/>
  <c r="M109" i="3" s="1"/>
  <c r="G109" i="3"/>
  <c r="BA8" i="1"/>
  <c r="G92" i="1"/>
  <c r="F8" i="22" l="1"/>
  <c r="G78" i="14"/>
  <c r="AB5" i="15"/>
  <c r="AB8" i="15" s="1"/>
  <c r="AB55" i="15" s="1"/>
  <c r="G91" i="15"/>
  <c r="M91" i="15" s="1"/>
  <c r="BH8" i="15"/>
  <c r="BH55" i="15" s="1"/>
  <c r="BH5" i="16" s="1"/>
  <c r="G63" i="14"/>
  <c r="R5" i="15"/>
  <c r="R8" i="15" s="1"/>
  <c r="R55" i="15" s="1"/>
  <c r="G62" i="14"/>
  <c r="P5" i="15"/>
  <c r="P8" i="15" s="1"/>
  <c r="P55" i="15" s="1"/>
  <c r="G102" i="15"/>
  <c r="M102" i="15" s="1"/>
  <c r="AU8" i="15"/>
  <c r="AU55" i="15" s="1"/>
  <c r="AU5" i="16" s="1"/>
  <c r="AR8" i="15"/>
  <c r="AR55" i="15" s="1"/>
  <c r="AR5" i="16" s="1"/>
  <c r="G90" i="15"/>
  <c r="M90" i="15" s="1"/>
  <c r="AY8" i="16"/>
  <c r="AY55" i="16" s="1"/>
  <c r="G106" i="16"/>
  <c r="M106" i="16" s="1"/>
  <c r="G97" i="15"/>
  <c r="M97" i="15" s="1"/>
  <c r="BI8" i="15"/>
  <c r="BI55" i="15" s="1"/>
  <c r="BI5" i="16" s="1"/>
  <c r="G103" i="15"/>
  <c r="M103" i="15" s="1"/>
  <c r="BJ8" i="15"/>
  <c r="BJ55" i="15" s="1"/>
  <c r="BJ5" i="16" s="1"/>
  <c r="G94" i="15"/>
  <c r="M94" i="15" s="1"/>
  <c r="AW8" i="15"/>
  <c r="AW55" i="15" s="1"/>
  <c r="AW5" i="16" s="1"/>
  <c r="G100" i="15"/>
  <c r="M100" i="15" s="1"/>
  <c r="BF8" i="15"/>
  <c r="BF55" i="15" s="1"/>
  <c r="BF5" i="16" s="1"/>
  <c r="G82" i="15"/>
  <c r="AJ5" i="16"/>
  <c r="AJ8" i="16" s="1"/>
  <c r="AJ55" i="16" s="1"/>
  <c r="G67" i="14"/>
  <c r="T5" i="15"/>
  <c r="T8" i="15" s="1"/>
  <c r="T55" i="15" s="1"/>
  <c r="G69" i="15"/>
  <c r="X5" i="16"/>
  <c r="X8" i="16" s="1"/>
  <c r="X55" i="16" s="1"/>
  <c r="G77" i="14"/>
  <c r="Z5" i="15"/>
  <c r="Z8" i="15" s="1"/>
  <c r="Z55" i="15" s="1"/>
  <c r="G80" i="14"/>
  <c r="AF5" i="15"/>
  <c r="AF8" i="15" s="1"/>
  <c r="AF55" i="15" s="1"/>
  <c r="G68" i="14"/>
  <c r="V5" i="15"/>
  <c r="V8" i="15" s="1"/>
  <c r="V55" i="15" s="1"/>
  <c r="G61" i="14"/>
  <c r="N5" i="15"/>
  <c r="N8" i="15" s="1"/>
  <c r="N55" i="15" s="1"/>
  <c r="G95" i="15"/>
  <c r="M95" i="15" s="1"/>
  <c r="AT8" i="15"/>
  <c r="AT55" i="15" s="1"/>
  <c r="AT5" i="16" s="1"/>
  <c r="G93" i="15"/>
  <c r="M93" i="15" s="1"/>
  <c r="BE8" i="15"/>
  <c r="BE55" i="15" s="1"/>
  <c r="BE5" i="16" s="1"/>
  <c r="G81" i="14"/>
  <c r="AH5" i="15"/>
  <c r="AH8" i="15" s="1"/>
  <c r="AH55" i="15" s="1"/>
  <c r="G74" i="14"/>
  <c r="M5" i="15"/>
  <c r="M8" i="15" s="1"/>
  <c r="M55" i="15" s="1"/>
  <c r="G79" i="14"/>
  <c r="AD5" i="15"/>
  <c r="AD8" i="15" s="1"/>
  <c r="AD55" i="15" s="1"/>
  <c r="G73" i="14"/>
  <c r="L5" i="15"/>
  <c r="L8" i="15" s="1"/>
  <c r="L55" i="15" s="1"/>
  <c r="G72" i="14"/>
  <c r="K5" i="15"/>
  <c r="K8" i="15" s="1"/>
  <c r="K55" i="15" s="1"/>
  <c r="G101" i="15"/>
  <c r="M101" i="15" s="1"/>
  <c r="AX8" i="15"/>
  <c r="AX55" i="15" s="1"/>
  <c r="AX5" i="16" s="1"/>
  <c r="G105" i="15"/>
  <c r="M105" i="15" s="1"/>
  <c r="BG8" i="15"/>
  <c r="BG55" i="15" s="1"/>
  <c r="BG5" i="16" s="1"/>
  <c r="G96" i="15"/>
  <c r="M96" i="15" s="1"/>
  <c r="AS8" i="15"/>
  <c r="AS55" i="15" s="1"/>
  <c r="AS5" i="16" s="1"/>
  <c r="BD8" i="6"/>
  <c r="BD55" i="6" s="1"/>
  <c r="BD5" i="7" s="1"/>
  <c r="G104" i="6"/>
  <c r="E8" i="6"/>
  <c r="M104" i="5"/>
  <c r="M110" i="5" s="1"/>
  <c r="G110" i="5"/>
  <c r="BB8" i="5"/>
  <c r="BB55" i="5" s="1"/>
  <c r="BB5" i="6" s="1"/>
  <c r="G99" i="5"/>
  <c r="M99" i="5" s="1"/>
  <c r="BC8" i="5"/>
  <c r="BC55" i="5" s="1"/>
  <c r="BC5" i="6" s="1"/>
  <c r="G98" i="5"/>
  <c r="M98" i="4"/>
  <c r="M109" i="4" s="1"/>
  <c r="G109" i="4"/>
  <c r="M92" i="1"/>
  <c r="M108" i="1" s="1"/>
  <c r="G108" i="1"/>
  <c r="BA55" i="1"/>
  <c r="BA5" i="2" s="1"/>
  <c r="AY5" i="17" l="1"/>
  <c r="F55" i="22"/>
  <c r="G73" i="15"/>
  <c r="L5" i="16"/>
  <c r="L8" i="16" s="1"/>
  <c r="L55" i="16" s="1"/>
  <c r="G82" i="16"/>
  <c r="AJ5" i="17"/>
  <c r="AJ8" i="17" s="1"/>
  <c r="AJ55" i="17" s="1"/>
  <c r="G61" i="15"/>
  <c r="N5" i="16"/>
  <c r="N8" i="16" s="1"/>
  <c r="N55" i="16" s="1"/>
  <c r="G90" i="16"/>
  <c r="M90" i="16" s="1"/>
  <c r="AR8" i="16"/>
  <c r="AR55" i="16" s="1"/>
  <c r="AR5" i="17" s="1"/>
  <c r="G102" i="16"/>
  <c r="M102" i="16" s="1"/>
  <c r="AU8" i="16"/>
  <c r="AU55" i="16" s="1"/>
  <c r="AU5" i="17" s="1"/>
  <c r="G100" i="16"/>
  <c r="M100" i="16" s="1"/>
  <c r="BF8" i="16"/>
  <c r="BF55" i="16" s="1"/>
  <c r="BF5" i="17" s="1"/>
  <c r="AS8" i="16"/>
  <c r="AS55" i="16" s="1"/>
  <c r="AS5" i="17" s="1"/>
  <c r="G96" i="16"/>
  <c r="M96" i="16" s="1"/>
  <c r="G74" i="15"/>
  <c r="M5" i="16"/>
  <c r="M8" i="16" s="1"/>
  <c r="M55" i="16" s="1"/>
  <c r="G80" i="15"/>
  <c r="AF5" i="16"/>
  <c r="AF8" i="16" s="1"/>
  <c r="AF55" i="16" s="1"/>
  <c r="AW8" i="16"/>
  <c r="AW55" i="16" s="1"/>
  <c r="AW5" i="17" s="1"/>
  <c r="G94" i="16"/>
  <c r="M94" i="16" s="1"/>
  <c r="G62" i="15"/>
  <c r="P5" i="16"/>
  <c r="P8" i="16" s="1"/>
  <c r="P55" i="16" s="1"/>
  <c r="G68" i="15"/>
  <c r="V5" i="16"/>
  <c r="V8" i="16" s="1"/>
  <c r="V55" i="16" s="1"/>
  <c r="G105" i="16"/>
  <c r="M105" i="16" s="1"/>
  <c r="BG8" i="16"/>
  <c r="BG55" i="16" s="1"/>
  <c r="BG5" i="17" s="1"/>
  <c r="G77" i="15"/>
  <c r="Z5" i="16"/>
  <c r="Z8" i="16" s="1"/>
  <c r="Z55" i="16" s="1"/>
  <c r="BJ8" i="16"/>
  <c r="BJ55" i="16" s="1"/>
  <c r="BJ5" i="17" s="1"/>
  <c r="G103" i="16"/>
  <c r="M103" i="16" s="1"/>
  <c r="G63" i="15"/>
  <c r="R5" i="16"/>
  <c r="R8" i="16" s="1"/>
  <c r="R55" i="16" s="1"/>
  <c r="G81" i="15"/>
  <c r="AH5" i="16"/>
  <c r="AH8" i="16" s="1"/>
  <c r="AH55" i="16" s="1"/>
  <c r="AX8" i="16"/>
  <c r="AX55" i="16" s="1"/>
  <c r="AX5" i="17" s="1"/>
  <c r="G101" i="16"/>
  <c r="M101" i="16" s="1"/>
  <c r="G93" i="16"/>
  <c r="M93" i="16" s="1"/>
  <c r="BE8" i="16"/>
  <c r="BE55" i="16" s="1"/>
  <c r="BE5" i="17" s="1"/>
  <c r="G69" i="16"/>
  <c r="X5" i="17"/>
  <c r="X8" i="17" s="1"/>
  <c r="X55" i="17" s="1"/>
  <c r="G97" i="16"/>
  <c r="M97" i="16" s="1"/>
  <c r="BI8" i="16"/>
  <c r="BI55" i="16" s="1"/>
  <c r="BI5" i="17" s="1"/>
  <c r="G91" i="16"/>
  <c r="M91" i="16" s="1"/>
  <c r="BH8" i="16"/>
  <c r="BH55" i="16" s="1"/>
  <c r="BH5" i="17" s="1"/>
  <c r="G72" i="15"/>
  <c r="K5" i="16"/>
  <c r="K8" i="16" s="1"/>
  <c r="K55" i="16" s="1"/>
  <c r="G95" i="16"/>
  <c r="M95" i="16" s="1"/>
  <c r="AT8" i="16"/>
  <c r="AT55" i="16" s="1"/>
  <c r="AT5" i="17" s="1"/>
  <c r="G67" i="15"/>
  <c r="T5" i="16"/>
  <c r="T8" i="16" s="1"/>
  <c r="T55" i="16" s="1"/>
  <c r="G78" i="15"/>
  <c r="AB5" i="16"/>
  <c r="AB8" i="16" s="1"/>
  <c r="AB55" i="16" s="1"/>
  <c r="G79" i="15"/>
  <c r="AD5" i="16"/>
  <c r="AD8" i="16" s="1"/>
  <c r="AD55" i="16" s="1"/>
  <c r="AY8" i="17"/>
  <c r="AY55" i="17" s="1"/>
  <c r="AY5" i="18" s="1"/>
  <c r="G106" i="17"/>
  <c r="M106" i="17" s="1"/>
  <c r="G104" i="7"/>
  <c r="BD8" i="7"/>
  <c r="BD55" i="7" s="1"/>
  <c r="BD5" i="8" s="1"/>
  <c r="M104" i="6"/>
  <c r="M110" i="6" s="1"/>
  <c r="G110" i="6"/>
  <c r="BB8" i="6"/>
  <c r="BB55" i="6" s="1"/>
  <c r="G99" i="6"/>
  <c r="M99" i="6" s="1"/>
  <c r="BC8" i="6"/>
  <c r="BC55" i="6" s="1"/>
  <c r="BC5" i="7" s="1"/>
  <c r="G98" i="6"/>
  <c r="E55" i="6"/>
  <c r="E5" i="7" s="1"/>
  <c r="E8" i="7" s="1"/>
  <c r="E55" i="7" s="1"/>
  <c r="E5" i="8" s="1"/>
  <c r="E8" i="8" s="1"/>
  <c r="E55" i="8" s="1"/>
  <c r="E5" i="9" s="1"/>
  <c r="E8" i="9" s="1"/>
  <c r="E55" i="9" s="1"/>
  <c r="E5" i="10" s="1"/>
  <c r="M98" i="5"/>
  <c r="M109" i="5" s="1"/>
  <c r="G109" i="5"/>
  <c r="BA8" i="2"/>
  <c r="BA55" i="2" s="1"/>
  <c r="BA5" i="3" s="1"/>
  <c r="G92" i="2"/>
  <c r="D5" i="1"/>
  <c r="G69" i="17" l="1"/>
  <c r="X5" i="18"/>
  <c r="X8" i="18" s="1"/>
  <c r="X55" i="18" s="1"/>
  <c r="G82" i="17"/>
  <c r="AJ5" i="18"/>
  <c r="AJ8" i="18" s="1"/>
  <c r="AJ55" i="18" s="1"/>
  <c r="AY8" i="18"/>
  <c r="AY55" i="18" s="1"/>
  <c r="AY5" i="19" s="1"/>
  <c r="G106" i="18"/>
  <c r="M106" i="18" s="1"/>
  <c r="G68" i="16"/>
  <c r="V5" i="17"/>
  <c r="V8" i="17" s="1"/>
  <c r="V55" i="17" s="1"/>
  <c r="BF8" i="17"/>
  <c r="BF55" i="17" s="1"/>
  <c r="BF5" i="18" s="1"/>
  <c r="G100" i="17"/>
  <c r="M100" i="17" s="1"/>
  <c r="AX8" i="17"/>
  <c r="AX55" i="17" s="1"/>
  <c r="AX5" i="18" s="1"/>
  <c r="G101" i="17"/>
  <c r="M101" i="17" s="1"/>
  <c r="AU8" i="17"/>
  <c r="AU55" i="17" s="1"/>
  <c r="AU5" i="18" s="1"/>
  <c r="G102" i="17"/>
  <c r="G81" i="16"/>
  <c r="AH5" i="17"/>
  <c r="AH8" i="17" s="1"/>
  <c r="AH55" i="17" s="1"/>
  <c r="G62" i="16"/>
  <c r="P5" i="17"/>
  <c r="P8" i="17" s="1"/>
  <c r="P55" i="17" s="1"/>
  <c r="G72" i="16"/>
  <c r="K5" i="17"/>
  <c r="K8" i="17" s="1"/>
  <c r="K55" i="17" s="1"/>
  <c r="BH8" i="17"/>
  <c r="BH55" i="17" s="1"/>
  <c r="BH5" i="18" s="1"/>
  <c r="G91" i="17"/>
  <c r="M91" i="17" s="1"/>
  <c r="G63" i="16"/>
  <c r="R5" i="17"/>
  <c r="R8" i="17" s="1"/>
  <c r="R55" i="17" s="1"/>
  <c r="G90" i="17"/>
  <c r="AR8" i="17"/>
  <c r="AR55" i="17" s="1"/>
  <c r="AR5" i="18" s="1"/>
  <c r="G95" i="17"/>
  <c r="AT8" i="17"/>
  <c r="AT55" i="17" s="1"/>
  <c r="AT5" i="18" s="1"/>
  <c r="AW8" i="17"/>
  <c r="AW55" i="17" s="1"/>
  <c r="AW5" i="18" s="1"/>
  <c r="G94" i="17"/>
  <c r="M94" i="17" s="1"/>
  <c r="G79" i="16"/>
  <c r="AD5" i="17"/>
  <c r="AD8" i="17" s="1"/>
  <c r="AD55" i="17" s="1"/>
  <c r="G97" i="17"/>
  <c r="M97" i="17" s="1"/>
  <c r="BI8" i="17"/>
  <c r="BI55" i="17" s="1"/>
  <c r="BI5" i="18" s="1"/>
  <c r="G80" i="16"/>
  <c r="AF5" i="17"/>
  <c r="AF8" i="17" s="1"/>
  <c r="AF55" i="17" s="1"/>
  <c r="G61" i="16"/>
  <c r="N5" i="17"/>
  <c r="N8" i="17" s="1"/>
  <c r="N55" i="17" s="1"/>
  <c r="G103" i="17"/>
  <c r="M103" i="17" s="1"/>
  <c r="BJ8" i="17"/>
  <c r="BJ55" i="17" s="1"/>
  <c r="BJ5" i="18" s="1"/>
  <c r="G78" i="16"/>
  <c r="AB5" i="17"/>
  <c r="AB8" i="17" s="1"/>
  <c r="AB55" i="17" s="1"/>
  <c r="G74" i="16"/>
  <c r="M5" i="17"/>
  <c r="M8" i="17" s="1"/>
  <c r="M55" i="17" s="1"/>
  <c r="G67" i="16"/>
  <c r="T5" i="17"/>
  <c r="T8" i="17" s="1"/>
  <c r="T55" i="17" s="1"/>
  <c r="BE8" i="17"/>
  <c r="BE55" i="17" s="1"/>
  <c r="BE5" i="18" s="1"/>
  <c r="G93" i="17"/>
  <c r="M93" i="17" s="1"/>
  <c r="BG8" i="17"/>
  <c r="BG55" i="17" s="1"/>
  <c r="BG5" i="18" s="1"/>
  <c r="G105" i="17"/>
  <c r="M105" i="17" s="1"/>
  <c r="G73" i="16"/>
  <c r="L5" i="17"/>
  <c r="L8" i="17" s="1"/>
  <c r="L55" i="17" s="1"/>
  <c r="G77" i="16"/>
  <c r="Z5" i="17"/>
  <c r="Z8" i="17" s="1"/>
  <c r="Z55" i="17" s="1"/>
  <c r="G96" i="17"/>
  <c r="M96" i="17" s="1"/>
  <c r="AS8" i="17"/>
  <c r="AS55" i="17" s="1"/>
  <c r="AS5" i="18" s="1"/>
  <c r="E8" i="10"/>
  <c r="BD8" i="8"/>
  <c r="BD55" i="8" s="1"/>
  <c r="BD5" i="9" s="1"/>
  <c r="G104" i="8"/>
  <c r="M104" i="7"/>
  <c r="M110" i="7" s="1"/>
  <c r="G110" i="7"/>
  <c r="BB5" i="7"/>
  <c r="G99" i="7" s="1"/>
  <c r="M99" i="7" s="1"/>
  <c r="G98" i="7"/>
  <c r="BC8" i="7"/>
  <c r="BC55" i="7" s="1"/>
  <c r="BC5" i="8" s="1"/>
  <c r="M98" i="6"/>
  <c r="M109" i="6" s="1"/>
  <c r="G109" i="6"/>
  <c r="G92" i="3"/>
  <c r="BA8" i="3"/>
  <c r="M92" i="2"/>
  <c r="M108" i="2" s="1"/>
  <c r="G108" i="2"/>
  <c r="D8" i="1"/>
  <c r="CW5" i="1"/>
  <c r="G67" i="17" l="1"/>
  <c r="T5" i="18"/>
  <c r="T8" i="18" s="1"/>
  <c r="T55" i="18" s="1"/>
  <c r="G80" i="17"/>
  <c r="AF5" i="18"/>
  <c r="AF8" i="18" s="1"/>
  <c r="AF55" i="18" s="1"/>
  <c r="G63" i="17"/>
  <c r="R5" i="18"/>
  <c r="R8" i="18" s="1"/>
  <c r="R55" i="18" s="1"/>
  <c r="BH8" i="18"/>
  <c r="BH55" i="18" s="1"/>
  <c r="BH5" i="19" s="1"/>
  <c r="G91" i="18"/>
  <c r="M91" i="18" s="1"/>
  <c r="G72" i="17"/>
  <c r="K5" i="18"/>
  <c r="K8" i="18" s="1"/>
  <c r="K55" i="18" s="1"/>
  <c r="G68" i="17"/>
  <c r="V5" i="18"/>
  <c r="V8" i="18" s="1"/>
  <c r="V55" i="18" s="1"/>
  <c r="G62" i="17"/>
  <c r="P5" i="18"/>
  <c r="P8" i="18" s="1"/>
  <c r="P55" i="18" s="1"/>
  <c r="BI8" i="18"/>
  <c r="BI55" i="18" s="1"/>
  <c r="BI5" i="19" s="1"/>
  <c r="G97" i="18"/>
  <c r="M97" i="18" s="1"/>
  <c r="G74" i="17"/>
  <c r="M5" i="18"/>
  <c r="M8" i="18" s="1"/>
  <c r="M55" i="18" s="1"/>
  <c r="AX8" i="18"/>
  <c r="AX55" i="18" s="1"/>
  <c r="AX5" i="19" s="1"/>
  <c r="G101" i="18"/>
  <c r="M101" i="18" s="1"/>
  <c r="G79" i="17"/>
  <c r="AD5" i="18"/>
  <c r="AD8" i="18" s="1"/>
  <c r="AD55" i="18" s="1"/>
  <c r="G73" i="17"/>
  <c r="L5" i="18"/>
  <c r="L8" i="18" s="1"/>
  <c r="L55" i="18" s="1"/>
  <c r="G82" i="18"/>
  <c r="AJ5" i="19"/>
  <c r="AJ8" i="19" s="1"/>
  <c r="AJ55" i="19" s="1"/>
  <c r="G96" i="18"/>
  <c r="M96" i="18" s="1"/>
  <c r="AS8" i="18"/>
  <c r="AS55" i="18" s="1"/>
  <c r="AS5" i="19" s="1"/>
  <c r="G77" i="17"/>
  <c r="Z5" i="18"/>
  <c r="Z8" i="18" s="1"/>
  <c r="Z55" i="18" s="1"/>
  <c r="G78" i="17"/>
  <c r="AB5" i="18"/>
  <c r="AB8" i="18" s="1"/>
  <c r="AB55" i="18" s="1"/>
  <c r="G69" i="18"/>
  <c r="X5" i="19"/>
  <c r="X8" i="19" s="1"/>
  <c r="X55" i="19" s="1"/>
  <c r="BJ8" i="18"/>
  <c r="BJ55" i="18" s="1"/>
  <c r="BJ5" i="19" s="1"/>
  <c r="G103" i="18"/>
  <c r="M103" i="18" s="1"/>
  <c r="G95" i="18"/>
  <c r="M95" i="18" s="1"/>
  <c r="AT8" i="18"/>
  <c r="AT55" i="18" s="1"/>
  <c r="AT5" i="19" s="1"/>
  <c r="G61" i="17"/>
  <c r="N5" i="18"/>
  <c r="N8" i="18" s="1"/>
  <c r="N55" i="18" s="1"/>
  <c r="G90" i="18"/>
  <c r="M90" i="18" s="1"/>
  <c r="AR8" i="18"/>
  <c r="AR55" i="18" s="1"/>
  <c r="AR5" i="19" s="1"/>
  <c r="BG8" i="18"/>
  <c r="BG55" i="18" s="1"/>
  <c r="BG5" i="19" s="1"/>
  <c r="G105" i="18"/>
  <c r="M105" i="18" s="1"/>
  <c r="G102" i="18"/>
  <c r="M102" i="18" s="1"/>
  <c r="AU8" i="18"/>
  <c r="AU55" i="18" s="1"/>
  <c r="AU5" i="19" s="1"/>
  <c r="G81" i="17"/>
  <c r="AH5" i="18"/>
  <c r="AH8" i="18" s="1"/>
  <c r="AH55" i="18" s="1"/>
  <c r="G100" i="18"/>
  <c r="M100" i="18" s="1"/>
  <c r="BF8" i="18"/>
  <c r="BF55" i="18" s="1"/>
  <c r="BF5" i="19" s="1"/>
  <c r="BE8" i="18"/>
  <c r="BE55" i="18" s="1"/>
  <c r="BE5" i="19" s="1"/>
  <c r="G93" i="18"/>
  <c r="M93" i="18" s="1"/>
  <c r="G106" i="19"/>
  <c r="M106" i="19" s="1"/>
  <c r="AY8" i="19"/>
  <c r="AY55" i="19" s="1"/>
  <c r="AY5" i="20" s="1"/>
  <c r="G94" i="18"/>
  <c r="M94" i="18" s="1"/>
  <c r="AW8" i="18"/>
  <c r="AW55" i="18" s="1"/>
  <c r="AW5" i="19" s="1"/>
  <c r="M95" i="17"/>
  <c r="M102" i="17"/>
  <c r="M90" i="17"/>
  <c r="BB8" i="7"/>
  <c r="BB55" i="7" s="1"/>
  <c r="BB5" i="8" s="1"/>
  <c r="BB8" i="8" s="1"/>
  <c r="BB55" i="8" s="1"/>
  <c r="BB5" i="9" s="1"/>
  <c r="E55" i="10"/>
  <c r="E5" i="11" s="1"/>
  <c r="BD8" i="9"/>
  <c r="BD55" i="9" s="1"/>
  <c r="BD5" i="10" s="1"/>
  <c r="G104" i="9"/>
  <c r="M104" i="8"/>
  <c r="M110" i="8" s="1"/>
  <c r="G110" i="8"/>
  <c r="G98" i="8"/>
  <c r="BC8" i="8"/>
  <c r="BC55" i="8" s="1"/>
  <c r="BC5" i="9" s="1"/>
  <c r="M98" i="7"/>
  <c r="M109" i="7" s="1"/>
  <c r="G109" i="7"/>
  <c r="BA55" i="3"/>
  <c r="BA5" i="4" s="1"/>
  <c r="M92" i="3"/>
  <c r="M108" i="3" s="1"/>
  <c r="G108" i="3"/>
  <c r="D55" i="1"/>
  <c r="CW8" i="1"/>
  <c r="G73" i="18" l="1"/>
  <c r="L5" i="19"/>
  <c r="L8" i="19" s="1"/>
  <c r="L55" i="19" s="1"/>
  <c r="G68" i="18"/>
  <c r="V5" i="19"/>
  <c r="V8" i="19" s="1"/>
  <c r="V55" i="19" s="1"/>
  <c r="G78" i="18"/>
  <c r="AB5" i="19"/>
  <c r="AB8" i="19" s="1"/>
  <c r="AB55" i="19" s="1"/>
  <c r="BG8" i="19"/>
  <c r="BG55" i="19" s="1"/>
  <c r="BG5" i="20" s="1"/>
  <c r="G105" i="19"/>
  <c r="M105" i="19" s="1"/>
  <c r="AX8" i="19"/>
  <c r="AX55" i="19" s="1"/>
  <c r="AX5" i="20" s="1"/>
  <c r="G101" i="19"/>
  <c r="M101" i="19" s="1"/>
  <c r="BH8" i="19"/>
  <c r="BH55" i="19" s="1"/>
  <c r="BH5" i="20" s="1"/>
  <c r="G91" i="19"/>
  <c r="M91" i="19" s="1"/>
  <c r="AR8" i="19"/>
  <c r="AR55" i="19" s="1"/>
  <c r="AR5" i="20" s="1"/>
  <c r="G90" i="19"/>
  <c r="M90" i="19" s="1"/>
  <c r="G77" i="18"/>
  <c r="Z5" i="19"/>
  <c r="Z8" i="19" s="1"/>
  <c r="Z55" i="19" s="1"/>
  <c r="G74" i="18"/>
  <c r="M5" i="19"/>
  <c r="M8" i="19" s="1"/>
  <c r="M55" i="19" s="1"/>
  <c r="G63" i="18"/>
  <c r="R5" i="19"/>
  <c r="R8" i="19" s="1"/>
  <c r="R55" i="19" s="1"/>
  <c r="G69" i="19"/>
  <c r="X5" i="20"/>
  <c r="X8" i="20" s="1"/>
  <c r="X55" i="20" s="1"/>
  <c r="AU8" i="19"/>
  <c r="AU55" i="19" s="1"/>
  <c r="AU5" i="20" s="1"/>
  <c r="G102" i="19"/>
  <c r="M102" i="19" s="1"/>
  <c r="G61" i="18"/>
  <c r="N5" i="19"/>
  <c r="N8" i="19" s="1"/>
  <c r="N55" i="19" s="1"/>
  <c r="G96" i="19"/>
  <c r="M96" i="19" s="1"/>
  <c r="AS8" i="19"/>
  <c r="AS55" i="19" s="1"/>
  <c r="AS5" i="20" s="1"/>
  <c r="G80" i="18"/>
  <c r="AF5" i="19"/>
  <c r="AF8" i="19" s="1"/>
  <c r="AF55" i="19" s="1"/>
  <c r="BJ8" i="19"/>
  <c r="BJ55" i="19" s="1"/>
  <c r="BJ5" i="20" s="1"/>
  <c r="G103" i="19"/>
  <c r="M103" i="19" s="1"/>
  <c r="BI8" i="19"/>
  <c r="BI55" i="19" s="1"/>
  <c r="BI5" i="20" s="1"/>
  <c r="G97" i="19"/>
  <c r="M97" i="19" s="1"/>
  <c r="G79" i="18"/>
  <c r="AD5" i="19"/>
  <c r="AD8" i="19" s="1"/>
  <c r="AD55" i="19" s="1"/>
  <c r="AT8" i="19"/>
  <c r="AT55" i="19" s="1"/>
  <c r="AT5" i="20" s="1"/>
  <c r="G95" i="19"/>
  <c r="M95" i="19" s="1"/>
  <c r="G62" i="18"/>
  <c r="P5" i="19"/>
  <c r="P8" i="19" s="1"/>
  <c r="P55" i="19" s="1"/>
  <c r="G67" i="18"/>
  <c r="T5" i="19"/>
  <c r="T8" i="19" s="1"/>
  <c r="T55" i="19" s="1"/>
  <c r="G72" i="18"/>
  <c r="K5" i="19"/>
  <c r="K8" i="19" s="1"/>
  <c r="K55" i="19" s="1"/>
  <c r="G82" i="19"/>
  <c r="AJ5" i="20"/>
  <c r="AJ8" i="20" s="1"/>
  <c r="AJ55" i="20" s="1"/>
  <c r="G81" i="18"/>
  <c r="AH5" i="19"/>
  <c r="AH8" i="19" s="1"/>
  <c r="AH55" i="19" s="1"/>
  <c r="BF8" i="19"/>
  <c r="BF55" i="19" s="1"/>
  <c r="BF5" i="20" s="1"/>
  <c r="G100" i="19"/>
  <c r="M100" i="19" s="1"/>
  <c r="BE8" i="19"/>
  <c r="BE55" i="19" s="1"/>
  <c r="BE5" i="20" s="1"/>
  <c r="G93" i="19"/>
  <c r="M93" i="19" s="1"/>
  <c r="AY8" i="20"/>
  <c r="AY55" i="20" s="1"/>
  <c r="AY5" i="21" s="1"/>
  <c r="G106" i="20"/>
  <c r="M106" i="20" s="1"/>
  <c r="AW8" i="19"/>
  <c r="AW55" i="19" s="1"/>
  <c r="AW5" i="20" s="1"/>
  <c r="G94" i="19"/>
  <c r="M94" i="19" s="1"/>
  <c r="G99" i="8"/>
  <c r="M99" i="8" s="1"/>
  <c r="E8" i="11"/>
  <c r="BD8" i="10"/>
  <c r="BD55" i="10" s="1"/>
  <c r="BD5" i="11" s="1"/>
  <c r="G104" i="10"/>
  <c r="BC8" i="9"/>
  <c r="BC55" i="9" s="1"/>
  <c r="BC5" i="10" s="1"/>
  <c r="G98" i="9"/>
  <c r="M104" i="9"/>
  <c r="M110" i="9" s="1"/>
  <c r="G110" i="9"/>
  <c r="BB8" i="9"/>
  <c r="BB55" i="9" s="1"/>
  <c r="BB5" i="10" s="1"/>
  <c r="G99" i="9"/>
  <c r="M99" i="9" s="1"/>
  <c r="M98" i="8"/>
  <c r="G92" i="4"/>
  <c r="BA8" i="4"/>
  <c r="CW55" i="1"/>
  <c r="D5" i="2"/>
  <c r="G79" i="19" l="1"/>
  <c r="AD5" i="20"/>
  <c r="AD8" i="20" s="1"/>
  <c r="AD55" i="20" s="1"/>
  <c r="BI8" i="20"/>
  <c r="BI55" i="20" s="1"/>
  <c r="BI5" i="21" s="1"/>
  <c r="G97" i="20"/>
  <c r="M97" i="20" s="1"/>
  <c r="AX8" i="20"/>
  <c r="AX55" i="20" s="1"/>
  <c r="AX5" i="21" s="1"/>
  <c r="G101" i="20"/>
  <c r="M101" i="20" s="1"/>
  <c r="G102" i="20"/>
  <c r="M102" i="20" s="1"/>
  <c r="AU8" i="20"/>
  <c r="AU55" i="20" s="1"/>
  <c r="AU5" i="21" s="1"/>
  <c r="G63" i="19"/>
  <c r="R5" i="20"/>
  <c r="R8" i="20" s="1"/>
  <c r="R55" i="20" s="1"/>
  <c r="G91" i="20"/>
  <c r="M91" i="20" s="1"/>
  <c r="BH8" i="20"/>
  <c r="BH55" i="20" s="1"/>
  <c r="BH5" i="21" s="1"/>
  <c r="G103" i="20"/>
  <c r="M103" i="20" s="1"/>
  <c r="BJ8" i="20"/>
  <c r="BJ55" i="20" s="1"/>
  <c r="BJ5" i="21" s="1"/>
  <c r="G105" i="20"/>
  <c r="M105" i="20" s="1"/>
  <c r="BG8" i="20"/>
  <c r="BG55" i="20" s="1"/>
  <c r="BG5" i="21" s="1"/>
  <c r="G74" i="19"/>
  <c r="M5" i="20"/>
  <c r="M8" i="20" s="1"/>
  <c r="M55" i="20" s="1"/>
  <c r="G78" i="19"/>
  <c r="AB5" i="20"/>
  <c r="AB8" i="20" s="1"/>
  <c r="AB55" i="20" s="1"/>
  <c r="G109" i="8"/>
  <c r="G69" i="20"/>
  <c r="X5" i="21"/>
  <c r="X8" i="21" s="1"/>
  <c r="X55" i="21" s="1"/>
  <c r="G72" i="19"/>
  <c r="K5" i="20"/>
  <c r="K8" i="20" s="1"/>
  <c r="K55" i="20" s="1"/>
  <c r="AS8" i="20"/>
  <c r="AS55" i="20" s="1"/>
  <c r="AS5" i="21" s="1"/>
  <c r="G96" i="20"/>
  <c r="M96" i="20" s="1"/>
  <c r="G77" i="19"/>
  <c r="Z5" i="20"/>
  <c r="Z8" i="20" s="1"/>
  <c r="Z55" i="20" s="1"/>
  <c r="G68" i="19"/>
  <c r="V5" i="20"/>
  <c r="V8" i="20" s="1"/>
  <c r="V55" i="20" s="1"/>
  <c r="G67" i="19"/>
  <c r="T5" i="20"/>
  <c r="T8" i="20" s="1"/>
  <c r="T55" i="20" s="1"/>
  <c r="G82" i="20"/>
  <c r="AJ5" i="21"/>
  <c r="AJ8" i="21" s="1"/>
  <c r="AJ55" i="21" s="1"/>
  <c r="G80" i="19"/>
  <c r="AF5" i="20"/>
  <c r="AF8" i="20" s="1"/>
  <c r="AF55" i="20" s="1"/>
  <c r="G73" i="19"/>
  <c r="L5" i="20"/>
  <c r="L8" i="20" s="1"/>
  <c r="L55" i="20" s="1"/>
  <c r="M109" i="8"/>
  <c r="G62" i="19"/>
  <c r="P5" i="20"/>
  <c r="P8" i="20" s="1"/>
  <c r="P55" i="20" s="1"/>
  <c r="G61" i="19"/>
  <c r="N5" i="20"/>
  <c r="N8" i="20" s="1"/>
  <c r="N55" i="20" s="1"/>
  <c r="G95" i="20"/>
  <c r="M95" i="20" s="1"/>
  <c r="AT8" i="20"/>
  <c r="AT55" i="20" s="1"/>
  <c r="AT5" i="21" s="1"/>
  <c r="AR8" i="20"/>
  <c r="AR55" i="20" s="1"/>
  <c r="AR5" i="21" s="1"/>
  <c r="G90" i="20"/>
  <c r="M90" i="20" s="1"/>
  <c r="G81" i="19"/>
  <c r="AH5" i="20"/>
  <c r="AH8" i="20" s="1"/>
  <c r="AH55" i="20" s="1"/>
  <c r="BF8" i="20"/>
  <c r="BF55" i="20" s="1"/>
  <c r="BF5" i="21" s="1"/>
  <c r="G100" i="20"/>
  <c r="M100" i="20" s="1"/>
  <c r="BE8" i="20"/>
  <c r="BE55" i="20" s="1"/>
  <c r="BE5" i="21" s="1"/>
  <c r="G93" i="20"/>
  <c r="M93" i="20" s="1"/>
  <c r="G106" i="21"/>
  <c r="M106" i="21" s="1"/>
  <c r="AY8" i="21"/>
  <c r="AY55" i="21" s="1"/>
  <c r="AY5" i="22" s="1"/>
  <c r="G94" i="20"/>
  <c r="M94" i="20" s="1"/>
  <c r="AW8" i="20"/>
  <c r="AW55" i="20" s="1"/>
  <c r="AW5" i="21" s="1"/>
  <c r="BD8" i="11"/>
  <c r="BD55" i="11" s="1"/>
  <c r="BD5" i="12" s="1"/>
  <c r="G104" i="11"/>
  <c r="E55" i="11"/>
  <c r="E5" i="12" s="1"/>
  <c r="E8" i="12" s="1"/>
  <c r="E55" i="12" s="1"/>
  <c r="E5" i="13" s="1"/>
  <c r="E8" i="13" s="1"/>
  <c r="E55" i="13" s="1"/>
  <c r="E5" i="14" s="1"/>
  <c r="E8" i="14" s="1"/>
  <c r="E55" i="14" s="1"/>
  <c r="E5" i="15" s="1"/>
  <c r="E8" i="15" s="1"/>
  <c r="E55" i="15" s="1"/>
  <c r="E5" i="16" s="1"/>
  <c r="E8" i="16" s="1"/>
  <c r="E55" i="16" s="1"/>
  <c r="E5" i="17" s="1"/>
  <c r="E8" i="17" s="1"/>
  <c r="E55" i="17" s="1"/>
  <c r="E5" i="18" s="1"/>
  <c r="E8" i="18" s="1"/>
  <c r="E55" i="18" s="1"/>
  <c r="E5" i="19" s="1"/>
  <c r="E8" i="19" s="1"/>
  <c r="E55" i="19" s="1"/>
  <c r="E5" i="20" s="1"/>
  <c r="E8" i="20" s="1"/>
  <c r="E55" i="20" s="1"/>
  <c r="E5" i="21" s="1"/>
  <c r="M104" i="10"/>
  <c r="M110" i="10" s="1"/>
  <c r="G110" i="10"/>
  <c r="BB8" i="10"/>
  <c r="BB55" i="10" s="1"/>
  <c r="BB5" i="11" s="1"/>
  <c r="G99" i="10"/>
  <c r="M99" i="10" s="1"/>
  <c r="BC8" i="10"/>
  <c r="BC55" i="10" s="1"/>
  <c r="BC5" i="11" s="1"/>
  <c r="G98" i="10"/>
  <c r="M98" i="9"/>
  <c r="M109" i="9" s="1"/>
  <c r="G109" i="9"/>
  <c r="BA55" i="4"/>
  <c r="BA5" i="5" s="1"/>
  <c r="M92" i="4"/>
  <c r="M108" i="4" s="1"/>
  <c r="G108" i="4"/>
  <c r="D8" i="2"/>
  <c r="CW5" i="2"/>
  <c r="G82" i="21" l="1"/>
  <c r="AJ5" i="22"/>
  <c r="AJ8" i="22" s="1"/>
  <c r="AJ55" i="22" s="1"/>
  <c r="G91" i="21"/>
  <c r="M91" i="21" s="1"/>
  <c r="BH8" i="21"/>
  <c r="BH55" i="21" s="1"/>
  <c r="BH5" i="22" s="1"/>
  <c r="G67" i="20"/>
  <c r="T5" i="21"/>
  <c r="T8" i="21" s="1"/>
  <c r="T55" i="21" s="1"/>
  <c r="G61" i="20"/>
  <c r="N5" i="21"/>
  <c r="N8" i="21" s="1"/>
  <c r="N55" i="21" s="1"/>
  <c r="G78" i="20"/>
  <c r="AB5" i="21"/>
  <c r="AB8" i="21" s="1"/>
  <c r="AB55" i="21" s="1"/>
  <c r="AU8" i="21"/>
  <c r="AU55" i="21" s="1"/>
  <c r="AU5" i="22" s="1"/>
  <c r="G102" i="21"/>
  <c r="M102" i="21" s="1"/>
  <c r="G90" i="21"/>
  <c r="M90" i="21" s="1"/>
  <c r="AR8" i="21"/>
  <c r="AR55" i="21" s="1"/>
  <c r="AR5" i="22" s="1"/>
  <c r="G68" i="20"/>
  <c r="V5" i="21"/>
  <c r="V8" i="21" s="1"/>
  <c r="V55" i="21" s="1"/>
  <c r="G62" i="20"/>
  <c r="P5" i="21"/>
  <c r="P8" i="21" s="1"/>
  <c r="P55" i="21" s="1"/>
  <c r="G74" i="20"/>
  <c r="M5" i="21"/>
  <c r="M8" i="21" s="1"/>
  <c r="M55" i="21" s="1"/>
  <c r="G69" i="21"/>
  <c r="X5" i="22"/>
  <c r="X8" i="22" s="1"/>
  <c r="X55" i="22" s="1"/>
  <c r="G77" i="20"/>
  <c r="Z5" i="21"/>
  <c r="Z8" i="21" s="1"/>
  <c r="Z55" i="21" s="1"/>
  <c r="G101" i="21"/>
  <c r="M101" i="21" s="1"/>
  <c r="AX8" i="21"/>
  <c r="AX55" i="21" s="1"/>
  <c r="AX5" i="22" s="1"/>
  <c r="G63" i="20"/>
  <c r="R5" i="21"/>
  <c r="R8" i="21" s="1"/>
  <c r="R55" i="21" s="1"/>
  <c r="BG8" i="21"/>
  <c r="BG55" i="21" s="1"/>
  <c r="BG5" i="22" s="1"/>
  <c r="G105" i="21"/>
  <c r="M105" i="21" s="1"/>
  <c r="G73" i="20"/>
  <c r="L5" i="21"/>
  <c r="L8" i="21" s="1"/>
  <c r="L55" i="21" s="1"/>
  <c r="BI8" i="21"/>
  <c r="BI55" i="21" s="1"/>
  <c r="BI5" i="22" s="1"/>
  <c r="G97" i="21"/>
  <c r="M97" i="21" s="1"/>
  <c r="G96" i="21"/>
  <c r="M96" i="21" s="1"/>
  <c r="AS8" i="21"/>
  <c r="AS55" i="21" s="1"/>
  <c r="AS5" i="22" s="1"/>
  <c r="BJ8" i="21"/>
  <c r="BJ55" i="21" s="1"/>
  <c r="BJ5" i="22" s="1"/>
  <c r="G103" i="21"/>
  <c r="M103" i="21" s="1"/>
  <c r="G79" i="20"/>
  <c r="AD5" i="21"/>
  <c r="AD8" i="21" s="1"/>
  <c r="AD55" i="21" s="1"/>
  <c r="G95" i="21"/>
  <c r="M95" i="21" s="1"/>
  <c r="AT8" i="21"/>
  <c r="AT55" i="21" s="1"/>
  <c r="AT5" i="22" s="1"/>
  <c r="G80" i="20"/>
  <c r="AF5" i="21"/>
  <c r="AF8" i="21" s="1"/>
  <c r="AF55" i="21" s="1"/>
  <c r="G72" i="20"/>
  <c r="K5" i="21"/>
  <c r="K8" i="21" s="1"/>
  <c r="K55" i="21" s="1"/>
  <c r="G81" i="20"/>
  <c r="AH5" i="21"/>
  <c r="AH8" i="21" s="1"/>
  <c r="AH55" i="21" s="1"/>
  <c r="G100" i="21"/>
  <c r="M100" i="21" s="1"/>
  <c r="BF8" i="21"/>
  <c r="BF55" i="21" s="1"/>
  <c r="BF5" i="22" s="1"/>
  <c r="BE8" i="21"/>
  <c r="BE55" i="21" s="1"/>
  <c r="BE5" i="22" s="1"/>
  <c r="G93" i="21"/>
  <c r="M93" i="21" s="1"/>
  <c r="G106" i="22"/>
  <c r="M106" i="22" s="1"/>
  <c r="AY8" i="22"/>
  <c r="AY55" i="22" s="1"/>
  <c r="G94" i="21"/>
  <c r="M94" i="21" s="1"/>
  <c r="AW8" i="21"/>
  <c r="AW55" i="21" s="1"/>
  <c r="AW5" i="22" s="1"/>
  <c r="E8" i="21"/>
  <c r="G104" i="12"/>
  <c r="BD8" i="12"/>
  <c r="BD55" i="12" s="1"/>
  <c r="BD5" i="13" s="1"/>
  <c r="M104" i="11"/>
  <c r="M110" i="11" s="1"/>
  <c r="G110" i="11"/>
  <c r="BB8" i="11"/>
  <c r="BB55" i="11" s="1"/>
  <c r="BB5" i="12" s="1"/>
  <c r="G99" i="11"/>
  <c r="M99" i="11" s="1"/>
  <c r="BC8" i="11"/>
  <c r="BC55" i="11" s="1"/>
  <c r="BC5" i="12" s="1"/>
  <c r="G98" i="11"/>
  <c r="M98" i="10"/>
  <c r="M109" i="10" s="1"/>
  <c r="G109" i="10"/>
  <c r="BA8" i="5"/>
  <c r="G92" i="5"/>
  <c r="D55" i="2"/>
  <c r="CW8" i="2"/>
  <c r="G96" i="22" l="1"/>
  <c r="M96" i="22" s="1"/>
  <c r="AS8" i="22"/>
  <c r="AS55" i="22" s="1"/>
  <c r="G77" i="21"/>
  <c r="Z5" i="22"/>
  <c r="Z8" i="22" s="1"/>
  <c r="Z55" i="22" s="1"/>
  <c r="BI8" i="22"/>
  <c r="BI55" i="22" s="1"/>
  <c r="G97" i="22"/>
  <c r="M97" i="22" s="1"/>
  <c r="G73" i="21"/>
  <c r="L5" i="22"/>
  <c r="L8" i="22" s="1"/>
  <c r="L55" i="22" s="1"/>
  <c r="G74" i="21"/>
  <c r="M5" i="22"/>
  <c r="M8" i="22" s="1"/>
  <c r="M55" i="22" s="1"/>
  <c r="G61" i="21"/>
  <c r="N5" i="22"/>
  <c r="N8" i="22" s="1"/>
  <c r="N55" i="22" s="1"/>
  <c r="AU8" i="22"/>
  <c r="AU55" i="22" s="1"/>
  <c r="G102" i="22"/>
  <c r="M102" i="22" s="1"/>
  <c r="AT8" i="22"/>
  <c r="AT55" i="22" s="1"/>
  <c r="G95" i="22"/>
  <c r="M95" i="22" s="1"/>
  <c r="G62" i="21"/>
  <c r="P5" i="22"/>
  <c r="P8" i="22" s="1"/>
  <c r="P55" i="22" s="1"/>
  <c r="G67" i="21"/>
  <c r="T5" i="22"/>
  <c r="T8" i="22" s="1"/>
  <c r="T55" i="22" s="1"/>
  <c r="BG8" i="22"/>
  <c r="BG55" i="22" s="1"/>
  <c r="G105" i="22"/>
  <c r="M105" i="22" s="1"/>
  <c r="G72" i="21"/>
  <c r="K5" i="22"/>
  <c r="K8" i="22" s="1"/>
  <c r="K55" i="22" s="1"/>
  <c r="G63" i="21"/>
  <c r="R5" i="22"/>
  <c r="R8" i="22" s="1"/>
  <c r="R55" i="22" s="1"/>
  <c r="G68" i="21"/>
  <c r="V5" i="22"/>
  <c r="V8" i="22" s="1"/>
  <c r="V55" i="22" s="1"/>
  <c r="G91" i="22"/>
  <c r="M91" i="22" s="1"/>
  <c r="BH8" i="22"/>
  <c r="BH55" i="22" s="1"/>
  <c r="G78" i="21"/>
  <c r="AB5" i="22"/>
  <c r="AB8" i="22" s="1"/>
  <c r="AB55" i="22" s="1"/>
  <c r="G80" i="21"/>
  <c r="AF5" i="22"/>
  <c r="AF8" i="22" s="1"/>
  <c r="AF55" i="22" s="1"/>
  <c r="AX8" i="22"/>
  <c r="AX55" i="22" s="1"/>
  <c r="G101" i="22"/>
  <c r="M101" i="22" s="1"/>
  <c r="AR8" i="22"/>
  <c r="AR55" i="22" s="1"/>
  <c r="G90" i="22"/>
  <c r="M90" i="22" s="1"/>
  <c r="G82" i="22"/>
  <c r="G69" i="22"/>
  <c r="G79" i="21"/>
  <c r="AD5" i="22"/>
  <c r="AD8" i="22" s="1"/>
  <c r="AD55" i="22" s="1"/>
  <c r="G103" i="22"/>
  <c r="M103" i="22" s="1"/>
  <c r="BJ8" i="22"/>
  <c r="BJ55" i="22" s="1"/>
  <c r="G81" i="21"/>
  <c r="AH5" i="22"/>
  <c r="AH8" i="22" s="1"/>
  <c r="AH55" i="22" s="1"/>
  <c r="BF8" i="22"/>
  <c r="BF55" i="22" s="1"/>
  <c r="G100" i="22"/>
  <c r="M100" i="22" s="1"/>
  <c r="BE8" i="22"/>
  <c r="BE55" i="22" s="1"/>
  <c r="G93" i="22"/>
  <c r="M93" i="22" s="1"/>
  <c r="AW8" i="22"/>
  <c r="AW55" i="22" s="1"/>
  <c r="G94" i="22"/>
  <c r="M94" i="22" s="1"/>
  <c r="E55" i="21"/>
  <c r="E5" i="22" s="1"/>
  <c r="E8" i="22" s="1"/>
  <c r="E55" i="22" s="1"/>
  <c r="G104" i="13"/>
  <c r="BD8" i="13"/>
  <c r="BD55" i="13" s="1"/>
  <c r="BD5" i="14" s="1"/>
  <c r="M104" i="12"/>
  <c r="M110" i="12" s="1"/>
  <c r="G110" i="12"/>
  <c r="BB8" i="12"/>
  <c r="BB55" i="12" s="1"/>
  <c r="BB5" i="13" s="1"/>
  <c r="G99" i="12"/>
  <c r="M99" i="12" s="1"/>
  <c r="G98" i="12"/>
  <c r="BC8" i="12"/>
  <c r="BC55" i="12" s="1"/>
  <c r="BC5" i="13" s="1"/>
  <c r="M98" i="11"/>
  <c r="M109" i="11" s="1"/>
  <c r="G109" i="11"/>
  <c r="M92" i="5"/>
  <c r="M108" i="5" s="1"/>
  <c r="G108" i="5"/>
  <c r="BA55" i="5"/>
  <c r="BA5" i="6" s="1"/>
  <c r="CW55" i="2"/>
  <c r="D5" i="3"/>
  <c r="G74" i="22" l="1"/>
  <c r="G81" i="22"/>
  <c r="G72" i="22"/>
  <c r="G61" i="22"/>
  <c r="G78" i="22"/>
  <c r="G67" i="22"/>
  <c r="G73" i="22"/>
  <c r="G62" i="22"/>
  <c r="G79" i="22"/>
  <c r="G80" i="22"/>
  <c r="G68" i="22"/>
  <c r="G77" i="22"/>
  <c r="G63" i="22"/>
  <c r="G104" i="14"/>
  <c r="BD8" i="14"/>
  <c r="BD55" i="14" s="1"/>
  <c r="BD5" i="15" s="1"/>
  <c r="M104" i="13"/>
  <c r="M110" i="13" s="1"/>
  <c r="G110" i="13"/>
  <c r="G99" i="13"/>
  <c r="M99" i="13" s="1"/>
  <c r="BB8" i="13"/>
  <c r="BB55" i="13" s="1"/>
  <c r="BB5" i="14" s="1"/>
  <c r="BC8" i="13"/>
  <c r="BC55" i="13" s="1"/>
  <c r="BC5" i="14" s="1"/>
  <c r="G98" i="13"/>
  <c r="M98" i="12"/>
  <c r="M109" i="12" s="1"/>
  <c r="G109" i="12"/>
  <c r="G92" i="6"/>
  <c r="BA8" i="6"/>
  <c r="D8" i="3"/>
  <c r="CW5" i="3"/>
  <c r="G104" i="15" l="1"/>
  <c r="BD8" i="15"/>
  <c r="BD55" i="15" s="1"/>
  <c r="BD5" i="16" s="1"/>
  <c r="M104" i="14"/>
  <c r="M110" i="14" s="1"/>
  <c r="G110" i="14"/>
  <c r="BB8" i="14"/>
  <c r="BB55" i="14" s="1"/>
  <c r="BB5" i="15" s="1"/>
  <c r="G99" i="14"/>
  <c r="M99" i="14" s="1"/>
  <c r="G98" i="14"/>
  <c r="BC8" i="14"/>
  <c r="BC55" i="14" s="1"/>
  <c r="BC5" i="15" s="1"/>
  <c r="M98" i="13"/>
  <c r="M109" i="13" s="1"/>
  <c r="G109" i="13"/>
  <c r="BA55" i="6"/>
  <c r="BA5" i="7" s="1"/>
  <c r="M92" i="6"/>
  <c r="M108" i="6" s="1"/>
  <c r="G108" i="6"/>
  <c r="D55" i="3"/>
  <c r="CW8" i="3"/>
  <c r="G104" i="16" l="1"/>
  <c r="BD8" i="16"/>
  <c r="BD55" i="16" s="1"/>
  <c r="BD5" i="17" s="1"/>
  <c r="M104" i="15"/>
  <c r="M110" i="15" s="1"/>
  <c r="G110" i="15"/>
  <c r="BB8" i="15"/>
  <c r="BB55" i="15" s="1"/>
  <c r="BB5" i="16" s="1"/>
  <c r="G99" i="15"/>
  <c r="M99" i="15" s="1"/>
  <c r="BC8" i="15"/>
  <c r="BC55" i="15" s="1"/>
  <c r="BC5" i="16" s="1"/>
  <c r="G98" i="15"/>
  <c r="M98" i="14"/>
  <c r="M109" i="14" s="1"/>
  <c r="G109" i="14"/>
  <c r="G92" i="7"/>
  <c r="BA8" i="7"/>
  <c r="BA55" i="7" s="1"/>
  <c r="BA5" i="8" s="1"/>
  <c r="CW55" i="3"/>
  <c r="D5" i="4"/>
  <c r="BD8" i="17" l="1"/>
  <c r="BD55" i="17" s="1"/>
  <c r="BD5" i="18" s="1"/>
  <c r="G104" i="17"/>
  <c r="G110" i="16"/>
  <c r="M104" i="16"/>
  <c r="M110" i="16" s="1"/>
  <c r="G99" i="16"/>
  <c r="M99" i="16" s="1"/>
  <c r="BB8" i="16"/>
  <c r="BB55" i="16" s="1"/>
  <c r="BB5" i="17" s="1"/>
  <c r="BC8" i="16"/>
  <c r="BC55" i="16" s="1"/>
  <c r="BC5" i="17" s="1"/>
  <c r="G98" i="16"/>
  <c r="M98" i="15"/>
  <c r="M109" i="15" s="1"/>
  <c r="G109" i="15"/>
  <c r="G92" i="8"/>
  <c r="BA8" i="8"/>
  <c r="M92" i="7"/>
  <c r="M108" i="7" s="1"/>
  <c r="G108" i="7"/>
  <c r="D8" i="4"/>
  <c r="CW5" i="4"/>
  <c r="G104" i="18" l="1"/>
  <c r="BD8" i="18"/>
  <c r="BD55" i="18" s="1"/>
  <c r="BD5" i="19" s="1"/>
  <c r="G99" i="17"/>
  <c r="M99" i="17" s="1"/>
  <c r="BB8" i="17"/>
  <c r="BB55" i="17" s="1"/>
  <c r="BB5" i="18" s="1"/>
  <c r="M104" i="17"/>
  <c r="M110" i="17" s="1"/>
  <c r="G110" i="17"/>
  <c r="G98" i="17"/>
  <c r="BC8" i="17"/>
  <c r="BC55" i="17" s="1"/>
  <c r="BC5" i="18" s="1"/>
  <c r="M98" i="16"/>
  <c r="M109" i="16" s="1"/>
  <c r="G109" i="16"/>
  <c r="BA55" i="8"/>
  <c r="BA5" i="9" s="1"/>
  <c r="M92" i="8"/>
  <c r="M108" i="8" s="1"/>
  <c r="G108" i="8"/>
  <c r="D55" i="4"/>
  <c r="CW8" i="4"/>
  <c r="G104" i="19" l="1"/>
  <c r="BD8" i="19"/>
  <c r="BD55" i="19" s="1"/>
  <c r="BD5" i="20" s="1"/>
  <c r="G110" i="18"/>
  <c r="M104" i="18"/>
  <c r="M110" i="18" s="1"/>
  <c r="G99" i="18"/>
  <c r="M99" i="18" s="1"/>
  <c r="BB8" i="18"/>
  <c r="BB55" i="18" s="1"/>
  <c r="BB5" i="19" s="1"/>
  <c r="BC8" i="18"/>
  <c r="BC55" i="18" s="1"/>
  <c r="BC5" i="19" s="1"/>
  <c r="G98" i="18"/>
  <c r="M98" i="17"/>
  <c r="M109" i="17" s="1"/>
  <c r="G109" i="17"/>
  <c r="BA8" i="9"/>
  <c r="BA55" i="9" s="1"/>
  <c r="BA5" i="10" s="1"/>
  <c r="G92" i="9"/>
  <c r="CW55" i="4"/>
  <c r="D5" i="5"/>
  <c r="BD8" i="20" l="1"/>
  <c r="BD55" i="20" s="1"/>
  <c r="BD5" i="21" s="1"/>
  <c r="G104" i="20"/>
  <c r="M104" i="19"/>
  <c r="M110" i="19" s="1"/>
  <c r="G110" i="19"/>
  <c r="BB8" i="19"/>
  <c r="BB55" i="19" s="1"/>
  <c r="BB5" i="20" s="1"/>
  <c r="G99" i="19"/>
  <c r="M99" i="19" s="1"/>
  <c r="BC8" i="19"/>
  <c r="BC55" i="19" s="1"/>
  <c r="BC5" i="20" s="1"/>
  <c r="G98" i="19"/>
  <c r="M98" i="18"/>
  <c r="M109" i="18" s="1"/>
  <c r="G109" i="18"/>
  <c r="BA8" i="10"/>
  <c r="G92" i="10"/>
  <c r="M92" i="9"/>
  <c r="M108" i="9" s="1"/>
  <c r="G108" i="9"/>
  <c r="D8" i="5"/>
  <c r="CW5" i="5"/>
  <c r="BD8" i="21" l="1"/>
  <c r="BD55" i="21" s="1"/>
  <c r="BD5" i="22" s="1"/>
  <c r="G104" i="21"/>
  <c r="M104" i="20"/>
  <c r="M110" i="20" s="1"/>
  <c r="G110" i="20"/>
  <c r="G99" i="20"/>
  <c r="M99" i="20" s="1"/>
  <c r="BB8" i="20"/>
  <c r="BB55" i="20" s="1"/>
  <c r="BB5" i="21" s="1"/>
  <c r="BC8" i="20"/>
  <c r="BC55" i="20" s="1"/>
  <c r="BC5" i="21" s="1"/>
  <c r="G98" i="20"/>
  <c r="M98" i="19"/>
  <c r="M109" i="19" s="1"/>
  <c r="G109" i="19"/>
  <c r="M92" i="10"/>
  <c r="M108" i="10" s="1"/>
  <c r="G108" i="10"/>
  <c r="BA55" i="10"/>
  <c r="BA5" i="11" s="1"/>
  <c r="D55" i="5"/>
  <c r="CW8" i="5"/>
  <c r="G104" i="22" l="1"/>
  <c r="BD8" i="22"/>
  <c r="BD55" i="22" s="1"/>
  <c r="M104" i="21"/>
  <c r="M110" i="21" s="1"/>
  <c r="G110" i="21"/>
  <c r="G99" i="21"/>
  <c r="M99" i="21" s="1"/>
  <c r="BB8" i="21"/>
  <c r="BB55" i="21" s="1"/>
  <c r="BB5" i="22" s="1"/>
  <c r="G98" i="21"/>
  <c r="BC8" i="21"/>
  <c r="BC55" i="21" s="1"/>
  <c r="BC5" i="22" s="1"/>
  <c r="M98" i="20"/>
  <c r="M109" i="20" s="1"/>
  <c r="G109" i="20"/>
  <c r="BA8" i="11"/>
  <c r="G92" i="11"/>
  <c r="CW55" i="5"/>
  <c r="D5" i="6"/>
  <c r="M104" i="22" l="1"/>
  <c r="M110" i="22" s="1"/>
  <c r="G110" i="22"/>
  <c r="G99" i="22"/>
  <c r="M99" i="22" s="1"/>
  <c r="BB8" i="22"/>
  <c r="BB55" i="22" s="1"/>
  <c r="G98" i="22"/>
  <c r="BC8" i="22"/>
  <c r="BC55" i="22" s="1"/>
  <c r="M98" i="21"/>
  <c r="M109" i="21" s="1"/>
  <c r="G109" i="21"/>
  <c r="M92" i="11"/>
  <c r="M108" i="11" s="1"/>
  <c r="G108" i="11"/>
  <c r="BA55" i="11"/>
  <c r="BA5" i="12" s="1"/>
  <c r="D8" i="6"/>
  <c r="CW5" i="6"/>
  <c r="M98" i="22" l="1"/>
  <c r="M109" i="22" s="1"/>
  <c r="G109" i="22"/>
  <c r="G92" i="12"/>
  <c r="BA8" i="12"/>
  <c r="D55" i="6"/>
  <c r="CW8" i="6"/>
  <c r="BA55" i="12" l="1"/>
  <c r="BA5" i="13" s="1"/>
  <c r="M92" i="12"/>
  <c r="M108" i="12" s="1"/>
  <c r="G108" i="12"/>
  <c r="CW55" i="6"/>
  <c r="D5" i="7"/>
  <c r="G92" i="13" l="1"/>
  <c r="BA8" i="13"/>
  <c r="D8" i="7"/>
  <c r="CW5" i="7"/>
  <c r="BA55" i="13" l="1"/>
  <c r="BA5" i="14" s="1"/>
  <c r="M92" i="13"/>
  <c r="M108" i="13" s="1"/>
  <c r="G108" i="13"/>
  <c r="CW8" i="7"/>
  <c r="D55" i="7"/>
  <c r="G92" i="14" l="1"/>
  <c r="BA8" i="14"/>
  <c r="CW55" i="7"/>
  <c r="D5" i="8"/>
  <c r="BA55" i="14" l="1"/>
  <c r="BA5" i="15" s="1"/>
  <c r="M92" i="14"/>
  <c r="M108" i="14" s="1"/>
  <c r="G108" i="14"/>
  <c r="D8" i="8"/>
  <c r="CW5" i="8"/>
  <c r="G92" i="15" l="1"/>
  <c r="BA8" i="15"/>
  <c r="D55" i="8"/>
  <c r="CW8" i="8"/>
  <c r="BA55" i="15" l="1"/>
  <c r="BA5" i="16" s="1"/>
  <c r="M92" i="15"/>
  <c r="M108" i="15" s="1"/>
  <c r="G108" i="15"/>
  <c r="CW55" i="8"/>
  <c r="D5" i="9"/>
  <c r="G92" i="16" l="1"/>
  <c r="BA8" i="16"/>
  <c r="D8" i="9"/>
  <c r="CW5" i="9"/>
  <c r="BA55" i="16" l="1"/>
  <c r="BA5" i="17" s="1"/>
  <c r="M92" i="16"/>
  <c r="M108" i="16" s="1"/>
  <c r="G108" i="16"/>
  <c r="D55" i="9"/>
  <c r="CW8" i="9"/>
  <c r="G92" i="17" l="1"/>
  <c r="BA8" i="17"/>
  <c r="BA55" i="17" s="1"/>
  <c r="BA5" i="18" s="1"/>
  <c r="CW55" i="9"/>
  <c r="D5" i="10"/>
  <c r="BA8" i="18" l="1"/>
  <c r="G92" i="18"/>
  <c r="M92" i="17"/>
  <c r="M108" i="17" s="1"/>
  <c r="G108" i="17"/>
  <c r="D8" i="10"/>
  <c r="CW5" i="10"/>
  <c r="M92" i="18" l="1"/>
  <c r="M108" i="18" s="1"/>
  <c r="G108" i="18"/>
  <c r="BA55" i="18"/>
  <c r="BA5" i="19" s="1"/>
  <c r="D55" i="10"/>
  <c r="CW8" i="10"/>
  <c r="G92" i="19" l="1"/>
  <c r="BA8" i="19"/>
  <c r="CW55" i="10"/>
  <c r="D5" i="11"/>
  <c r="BA55" i="19" l="1"/>
  <c r="BA5" i="20" s="1"/>
  <c r="M92" i="19"/>
  <c r="M108" i="19" s="1"/>
  <c r="G108" i="19"/>
  <c r="D8" i="11"/>
  <c r="CW5" i="11"/>
  <c r="G92" i="20" l="1"/>
  <c r="BA8" i="20"/>
  <c r="D55" i="11"/>
  <c r="CW8" i="11"/>
  <c r="BA55" i="20" l="1"/>
  <c r="BA5" i="21" s="1"/>
  <c r="M92" i="20"/>
  <c r="M108" i="20" s="1"/>
  <c r="G108" i="20"/>
  <c r="CW55" i="11"/>
  <c r="D5" i="12"/>
  <c r="BA8" i="21" l="1"/>
  <c r="G92" i="21"/>
  <c r="D8" i="12"/>
  <c r="CW5" i="12"/>
  <c r="M92" i="21" l="1"/>
  <c r="M108" i="21" s="1"/>
  <c r="G108" i="21"/>
  <c r="BA55" i="21"/>
  <c r="BA5" i="22" s="1"/>
  <c r="D55" i="12"/>
  <c r="CW8" i="12"/>
  <c r="BA8" i="22" l="1"/>
  <c r="G92" i="22"/>
  <c r="CW55" i="12"/>
  <c r="D5" i="13"/>
  <c r="M92" i="22" l="1"/>
  <c r="M108" i="22" s="1"/>
  <c r="G108" i="22"/>
  <c r="BA55" i="22"/>
  <c r="D8" i="13"/>
  <c r="CW5" i="13"/>
  <c r="D55" i="13" l="1"/>
  <c r="CW8" i="13"/>
  <c r="CW55" i="13" l="1"/>
  <c r="D5" i="14"/>
  <c r="D8" i="14" l="1"/>
  <c r="CW5" i="14"/>
  <c r="D55" i="14" l="1"/>
  <c r="CW8" i="14"/>
  <c r="CW55" i="14" l="1"/>
  <c r="D5" i="15"/>
  <c r="D8" i="15" l="1"/>
  <c r="CW5" i="15"/>
  <c r="D55" i="15" l="1"/>
  <c r="CW8" i="15"/>
  <c r="CW55" i="15" l="1"/>
  <c r="D5" i="16"/>
  <c r="D8" i="16" l="1"/>
  <c r="CW5" i="16"/>
  <c r="D55" i="16" l="1"/>
  <c r="CW8" i="16"/>
  <c r="CW55" i="16" l="1"/>
  <c r="D5" i="17"/>
  <c r="D8" i="17" l="1"/>
  <c r="CW5" i="17"/>
  <c r="D55" i="17" l="1"/>
  <c r="CW8" i="17"/>
  <c r="CW55" i="17" l="1"/>
  <c r="D5" i="18"/>
  <c r="D8" i="18" l="1"/>
  <c r="CW5" i="18"/>
  <c r="D55" i="18" l="1"/>
  <c r="CW8" i="18"/>
  <c r="CW55" i="18" l="1"/>
  <c r="D5" i="19"/>
  <c r="D8" i="19" l="1"/>
  <c r="CW5" i="19"/>
  <c r="D55" i="19" l="1"/>
  <c r="CW8" i="19"/>
  <c r="CW55" i="19" l="1"/>
  <c r="D5" i="20"/>
  <c r="D8" i="20" l="1"/>
  <c r="CW5" i="20"/>
  <c r="D55" i="20" l="1"/>
  <c r="CW8" i="20"/>
  <c r="CW55" i="20" l="1"/>
  <c r="D5" i="21"/>
  <c r="D8" i="21" l="1"/>
  <c r="CW5" i="21"/>
  <c r="D55" i="21" l="1"/>
  <c r="CW8" i="21"/>
  <c r="CW55" i="21" l="1"/>
  <c r="D5" i="22"/>
  <c r="D8" i="22" l="1"/>
  <c r="CW5" i="22"/>
  <c r="D55" i="22" l="1"/>
  <c r="CW8" i="22"/>
  <c r="CW55" i="22" l="1"/>
</calcChain>
</file>

<file path=xl/comments1.xml><?xml version="1.0" encoding="utf-8"?>
<comments xmlns="http://schemas.openxmlformats.org/spreadsheetml/2006/main">
  <authors>
    <author>Carolina Salcedo Bermudez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Nomina Pensiones</t>
        </r>
      </text>
    </comment>
    <comment ref="BZ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Colfondos $1.000 MM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62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Inversoras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2.xml><?xml version="1.0" encoding="utf-8"?>
<comments xmlns="http://schemas.openxmlformats.org/spreadsheetml/2006/main">
  <authors>
    <author>Carolina Salcedo Bermudez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SOI Pensiones
GMF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JP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D6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venta Yankees del 29-08-2025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3.xml><?xml version="1.0" encoding="utf-8"?>
<comments xmlns="http://schemas.openxmlformats.org/spreadsheetml/2006/main">
  <authors>
    <author>Carolina Salcedo Bermudez</author>
  </authors>
  <commentList>
    <comment ref="BZ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Colfondos $2.000 MM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JP
Int Colateral CITI
Int Colateral BBVA
Int Colateral GS
Int Colateral JP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7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Compra BN General Motors cumplimiento el 04-09-2025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4.xml><?xml version="1.0" encoding="utf-8"?>
<comments xmlns="http://schemas.openxmlformats.org/spreadsheetml/2006/main">
  <authors>
    <author>Carolina Salcedo Bermudez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Rete Fuente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BOFA
Llamado al margen GS
Llamado al margen JP
Llamado al margen CITI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BOFA</t>
        </r>
      </text>
    </comment>
    <comment ref="R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BOFA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7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BN General Motors debitado el 03-09-2025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5.xml><?xml version="1.0" encoding="utf-8"?>
<comments xmlns="http://schemas.openxmlformats.org/spreadsheetml/2006/main">
  <authors>
    <author>Carolina Salcedo Bermudez</author>
  </authors>
  <commentLis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BOFA
Llamado al margen GS
Llamado al margen JP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6.xml><?xml version="1.0" encoding="utf-8"?>
<comments xmlns="http://schemas.openxmlformats.org/spreadsheetml/2006/main">
  <authors>
    <author>Carolina Salcedo Bermudez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Inverfaz $4.613 MM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JP </t>
        </r>
      </text>
    </comment>
    <comment ref="M37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Bancolombia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Citi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7.xml><?xml version="1.0" encoding="utf-8"?>
<comments xmlns="http://schemas.openxmlformats.org/spreadsheetml/2006/main">
  <authors>
    <author>Carolina Salcedo Bermudez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ICA</t>
        </r>
      </text>
    </comment>
    <comment ref="BZ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$2.000 MM colfondos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BOFA
Llamado al margen GS
Llamado al margen JP</t>
        </r>
      </text>
    </comment>
    <comment ref="P37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BBVA MADRID</t>
        </r>
      </text>
    </comment>
    <comment ref="L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NDF Banco Santander
NDF JPY/USD BANCOLOMBIA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JP Morgan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CI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Giro a Alianza por devolucion comisiones Fic Emergentes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8.xml><?xml version="1.0" encoding="utf-8"?>
<comments xmlns="http://schemas.openxmlformats.org/spreadsheetml/2006/main">
  <authors>
    <author>Carolina Salcedo Bermudez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Rete Fuente
Auto ICA
Finanseguros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Rete Fuente
Auto ICA
Finanseguros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BOFA
Llamado al margen GS
Llamado al margen JP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BBVA Madrid
NDF USD/JPY BBVA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9.xml><?xml version="1.0" encoding="utf-8"?>
<comments xmlns="http://schemas.openxmlformats.org/spreadsheetml/2006/main">
  <authors>
    <author>Carolina Salcedo Bermudez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IVA 
Auto ICA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GS
Llamado al margen BBVA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BBVA Madrid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6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Venta TIDIS para pago de impuestos</t>
        </r>
      </text>
    </comment>
    <comment ref="D74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Pago Bonos Deceval Grupo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10.xml><?xml version="1.0" encoding="utf-8"?>
<comments xmlns="http://schemas.openxmlformats.org/spreadsheetml/2006/main">
  <authors>
    <author>Carolina Salcedo Bermudez</author>
  </authors>
  <commentLis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GS
Llamado al margen BBVA
Llamado al margen JP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11.xml><?xml version="1.0" encoding="utf-8"?>
<comments xmlns="http://schemas.openxmlformats.org/spreadsheetml/2006/main">
  <authors>
    <author>Lady Yazmin Hoyos Romero</author>
    <author>Carolina Salcedo Bermudez</author>
  </authors>
  <commentList>
    <comment ref="L35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Swap IBR Bancolombia</t>
        </r>
      </text>
    </comment>
    <comment ref="P35" authorId="0" shapeId="0">
      <text>
        <r>
          <rPr>
            <b/>
            <sz val="9"/>
            <color indexed="81"/>
            <rFont val="Tahoma"/>
            <family val="2"/>
          </rPr>
          <t>Lady Yazmin Hoyos Romero: INTE FLUJOS</t>
        </r>
        <r>
          <rPr>
            <sz val="9"/>
            <color indexed="81"/>
            <rFont val="Tahoma"/>
            <family val="2"/>
          </rPr>
          <t xml:space="preserve">
  266,083.83 BOFA
325,836.39  JP
 36,605.61 BBVA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JPM: Recibir 410.000
GS: Recibir 870.000 
BOFA: Recibir 350.000</t>
        </r>
      </text>
    </comment>
    <comment ref="C4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V51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tarifa cuenta</t>
        </r>
      </text>
    </comment>
    <comment ref="X51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tarifa cuenta</t>
        </r>
      </text>
    </comment>
    <comment ref="E62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Int BN Yankees/ Swap's / Int en USD pendientes de abono / Diferencia en noficación</t>
        </r>
      </text>
    </comment>
    <comment ref="K8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12.xml><?xml version="1.0" encoding="utf-8"?>
<comments xmlns="http://schemas.openxmlformats.org/spreadsheetml/2006/main">
  <authors>
    <author>Lady Yazmin Hoyos Romero</author>
    <author>Carolina Salcedo Bermudez</author>
  </authors>
  <commentList>
    <comment ref="P11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 Nota Morgan   568,439.36
BN PFIZER INC     410,000.00
Yankee Intereses     247,500.00
BN PAT UNIÓN  251,526.00
  TOTAL     1,477,465.36
</t>
        </r>
      </text>
    </comment>
    <comment ref="R11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Yankee Intereses</t>
        </r>
      </text>
    </comment>
    <comment ref="AM14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Inv Bolivar recibe de Facilities
Soluciones recibe de IPS Bolívar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JPM: Enviar 1.580.000
GS: Enviar 760.000 
BOFA: Enviar 590.000</t>
        </r>
      </text>
    </comment>
    <comment ref="C4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62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Abono intereses titulos del exterior
Boceas abonado el 30-09-2025</t>
        </r>
      </text>
    </comment>
    <comment ref="K8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13.xml><?xml version="1.0" encoding="utf-8"?>
<comments xmlns="http://schemas.openxmlformats.org/spreadsheetml/2006/main">
  <authors>
    <author>Lady Yazmin Hoyos Romero</author>
    <author>Carolina Salcedo Bermudez</author>
  </authors>
  <commentList>
    <comment ref="P35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Intercambio de flujos GS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JPM: Recibir 1.570.000 
GS: Recibir 1.780.000 </t>
        </r>
      </text>
    </comment>
    <comment ref="L38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Banco de Occidente (2)
USD/JPY (2)</t>
        </r>
      </text>
    </comment>
    <comment ref="C4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62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Int Bn Mexichen / Swap GS</t>
        </r>
      </text>
    </comment>
    <comment ref="K8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14.xml><?xml version="1.0" encoding="utf-8"?>
<comments xmlns="http://schemas.openxmlformats.org/spreadsheetml/2006/main">
  <authors>
    <author>Lady Yazmin Hoyos Romero</author>
    <author>Carolina Salcedo Bermudez</author>
  </authors>
  <commentList>
    <comment ref="P11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BN MEXICHEM</t>
        </r>
      </text>
    </comment>
    <comment ref="P35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Ver adjunto ya que son muchos.</t>
        </r>
      </text>
    </comment>
    <comment ref="C4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62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bono mexichem del 17 sep porfin
Int BN Yankees / Swap's</t>
        </r>
      </text>
    </comment>
    <comment ref="K8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15.xml><?xml version="1.0" encoding="utf-8"?>
<comments xmlns="http://schemas.openxmlformats.org/spreadsheetml/2006/main">
  <authors>
    <author>Carolina Salcedo Bermudez</author>
    <author>Lady Yazmin Hoyos Romero</author>
  </authors>
  <commentList>
    <comment ref="AM14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Soluciones recibe de Salud IPS</t>
        </r>
      </text>
    </comment>
    <comment ref="AO1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Soluciones recibe de Salud IPS</t>
        </r>
      </text>
    </comment>
    <comment ref="V35" authorId="1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CITI: Enviar 470.000
JPM: Enviar 1.070.000
BOFA: Enviar 650.000</t>
        </r>
      </text>
    </comment>
    <comment ref="P38" authorId="1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NDF JP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7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Soluciones recibe de Salud IPS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16.xml><?xml version="1.0" encoding="utf-8"?>
<comments xmlns="http://schemas.openxmlformats.org/spreadsheetml/2006/main">
  <authors>
    <author>Lady Yazmin Hoyos Romero</author>
    <author>Carolina Salcedo Bermudez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IVA</t>
        </r>
      </text>
    </comment>
    <comment ref="P11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Bonos yankee 18 septiembre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JPM: Recibir 2.850.000 
GS: Recibir 1.890.000
BOFA: Recibir 460.000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Lady Yazmin Hoyos Romero:</t>
        </r>
        <r>
          <rPr>
            <sz val="9"/>
            <color indexed="81"/>
            <rFont val="Tahoma"/>
            <family val="2"/>
          </rPr>
          <t xml:space="preserve">
BBVA MADRID</t>
        </r>
      </text>
    </comment>
    <comment ref="C4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62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Bonos yankee 18 septiembre</t>
        </r>
      </text>
    </comment>
    <comment ref="K8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1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17.xml><?xml version="1.0" encoding="utf-8"?>
<comments xmlns="http://schemas.openxmlformats.org/spreadsheetml/2006/main">
  <authors>
    <author>Carolina Salcedo Bermudez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Nomina Adtiva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Nomina Adtiva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Nomina Adtiva</t>
        </r>
      </text>
    </comment>
    <comment ref="BZ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$3.200 MM Colfondos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GS
Llamado al margen BBVA
Llamado al margen JP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BOFA</t>
        </r>
      </text>
    </comment>
    <comment ref="R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BOFA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63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Dist FCP Altamar en EUR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18.xml><?xml version="1.0" encoding="utf-8"?>
<comments xmlns="http://schemas.openxmlformats.org/spreadsheetml/2006/main">
  <authors>
    <author>Carolina Salcedo Bermudez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Finanseguros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Finanseguros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FCP Dover Street XI
FCP Brookfield IV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BOFA
Llamado al margen JP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19.xml><?xml version="1.0" encoding="utf-8"?>
<comments xmlns="http://schemas.openxmlformats.org/spreadsheetml/2006/main">
  <authors>
    <author>Carolina Salcedo Bermudez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Intercía $1.156 MM
Servicios $7.500 MM</t>
        </r>
      </text>
    </comment>
    <comment ref="AM14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Inv Bolívar recibe de Facilities</t>
        </r>
      </text>
    </comment>
    <comment ref="AQ1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paga a Inv Bolívar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FCP Altamar EUR del 23-09-2025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GS
Llamado al margen JP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63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FCP Altamar EUR del 23-09-2025</t>
        </r>
      </text>
    </comment>
    <comment ref="E64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Inv Bolívar recibe de Facilities</t>
        </r>
      </text>
    </comment>
    <comment ref="E7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Inv Bolívar recibe de Facilities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20.xml><?xml version="1.0" encoding="utf-8"?>
<comments xmlns="http://schemas.openxmlformats.org/spreadsheetml/2006/main">
  <authors>
    <author>Carolina Salcedo Bermudez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Nomina Consejeros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Nomina Consejeros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Nomina Consejeros</t>
        </r>
      </text>
    </comment>
    <comment ref="AM11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Soluciones recibe de Agencia de Seguros El Libertador
Const y Des recibe de IPS Bolívar</t>
        </r>
      </text>
    </comment>
    <comment ref="L17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Banco de Bogotá</t>
        </r>
      </text>
    </comment>
    <comment ref="M17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Banco de Bogotá</t>
        </r>
      </text>
    </comment>
    <comment ref="AO17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Paga a Const y Des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FCP Brookfield Infrastructure Fund V (BIF V)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GS
Llamado al margen JP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BOFA USD/JPY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D62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Soluciones recibe de Agencia de Seguros El Libertador
Const y Des recibe de IPS Bolívar</t>
        </r>
      </text>
    </comment>
    <comment ref="E74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Paga a Const y Des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21.xml><?xml version="1.0" encoding="utf-8"?>
<comments xmlns="http://schemas.openxmlformats.org/spreadsheetml/2006/main">
  <authors>
    <author>Carolina Salcedo Bermudez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SOI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SOI
ICA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SOI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$12.199 MM Comisiones Davivienda
$2.855 MM Adecco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$9.177 MM Comisiones Davivienda</t>
        </r>
      </text>
    </comment>
    <comment ref="AM11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Negocios recibe de Inv y Cobranzas El Libertador</t>
        </r>
      </text>
    </comment>
    <comment ref="L17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Bancolombia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FCP Partner Group Equity V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GS
Llamado al margen JP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BBVA Madrid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E62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Inversoras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22.xml><?xml version="1.0" encoding="utf-8"?>
<comments xmlns="http://schemas.openxmlformats.org/spreadsheetml/2006/main">
  <authors>
    <author>Carolina Salcedo Bermudez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Nomina Pensionados
SOI
ICA</t>
        </r>
      </text>
    </comment>
    <comment ref="BZ6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Colfondos $5.299 MM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$2.800 MM Quiroprevención
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BOCEAS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FCP Carlyle Partners VII</t>
        </r>
      </text>
    </comment>
    <comment ref="AM30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Soluciones gira a Renting Davivienda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Llamado al margen GS
Llamado al margen JP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Citi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comments23.xml><?xml version="1.0" encoding="utf-8"?>
<comments xmlns="http://schemas.openxmlformats.org/spreadsheetml/2006/main">
  <authors>
    <author>Carolina Salcedo Bermudez</author>
  </authors>
  <commentList>
    <comment ref="C4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Valores que no corresponden a Op Tesorería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Rendimientos + Recaudo primas</t>
        </r>
      </text>
    </comment>
    <comment ref="L89" authorId="0" shapeId="0">
      <text>
        <r>
          <rPr>
            <b/>
            <sz val="9"/>
            <color indexed="81"/>
            <rFont val="Tahoma"/>
            <family val="2"/>
          </rPr>
          <t>Carolina Salcedo Bermudez:</t>
        </r>
        <r>
          <rPr>
            <sz val="9"/>
            <color indexed="81"/>
            <rFont val="Tahoma"/>
            <family val="2"/>
          </rPr>
          <t xml:space="preserve">
Impuestos/Comisiones/
GMF/Divisas/Embargos</t>
        </r>
      </text>
    </comment>
  </commentList>
</comments>
</file>

<file path=xl/sharedStrings.xml><?xml version="1.0" encoding="utf-8"?>
<sst xmlns="http://schemas.openxmlformats.org/spreadsheetml/2006/main" count="11105" uniqueCount="206">
  <si>
    <t>OPERACIONES DE TESORERÍA</t>
  </si>
  <si>
    <t>LIBRE INVERSION</t>
  </si>
  <si>
    <t>FIC LIFE USD</t>
  </si>
  <si>
    <t>FIC VIDA PESOS</t>
  </si>
  <si>
    <t>FIC LATIN VIDA PESOS</t>
  </si>
  <si>
    <t>PAGADURÍA</t>
  </si>
  <si>
    <t>CAPITALIZADORA</t>
  </si>
  <si>
    <t>SEGUROS BOLÍVAR</t>
  </si>
  <si>
    <t>COMERCIALES</t>
  </si>
  <si>
    <t>CAPITALIZADORA AHO</t>
  </si>
  <si>
    <t>SEGUROS BOLÍVAR AHO</t>
  </si>
  <si>
    <t>SEGUROS BOLÍVAR ARL</t>
  </si>
  <si>
    <t>COMERCIALES AHO</t>
  </si>
  <si>
    <t>CAPITALIZADORA US$</t>
  </si>
  <si>
    <t>CAPITALIZADORA PESOS</t>
  </si>
  <si>
    <t>SEGUROS BOLÍVAR US$</t>
  </si>
  <si>
    <t>SEGUROS BOLÍVAR PESOS</t>
  </si>
  <si>
    <t>COMERCIALES US$</t>
  </si>
  <si>
    <t>COMERCIALES PESOS</t>
  </si>
  <si>
    <t>GRUPO BOLIVAR US$</t>
  </si>
  <si>
    <t>GRUPO BOLIVAR PESOS</t>
  </si>
  <si>
    <t>SEISA US$</t>
  </si>
  <si>
    <t>SEISA PESOS</t>
  </si>
  <si>
    <t>RIBI US$</t>
  </si>
  <si>
    <t>RIBI PESOS</t>
  </si>
  <si>
    <t>GRUPO BOLIVAR</t>
  </si>
  <si>
    <t>INVERSORAS</t>
  </si>
  <si>
    <t>SALUD EPS BOLIVAR</t>
  </si>
  <si>
    <t>SALUD IPS BOLIVAR</t>
  </si>
  <si>
    <t>SERVICIOS BOLIVAR</t>
  </si>
  <si>
    <t>SEGUROS BOLÍVAR USD</t>
  </si>
  <si>
    <t>COMERCIALES USD</t>
  </si>
  <si>
    <t>TOTALES</t>
  </si>
  <si>
    <t>BANCO DAVIVIENDA</t>
  </si>
  <si>
    <t>BANCO REPUBLICA</t>
  </si>
  <si>
    <t>CITIBANK COMP</t>
  </si>
  <si>
    <t>JP MORGAN</t>
  </si>
  <si>
    <t>DAVIVIENDA INT</t>
  </si>
  <si>
    <t>DAVIVIENDA</t>
  </si>
  <si>
    <t>FACILITIES</t>
  </si>
  <si>
    <t>BANCO DE BOGOTA</t>
  </si>
  <si>
    <t>ITAÚ</t>
  </si>
  <si>
    <t>CORFIDIARIO</t>
  </si>
  <si>
    <t>BANCO COLPATRIA</t>
  </si>
  <si>
    <t>BANCOLOMBIA</t>
  </si>
  <si>
    <t>CITIBANK REASEGUROS</t>
  </si>
  <si>
    <t>BANCO POPULAR</t>
  </si>
  <si>
    <t>BBVA</t>
  </si>
  <si>
    <t>BANCO DE OCCIDENTE</t>
  </si>
  <si>
    <t>CITIBANK</t>
  </si>
  <si>
    <t>AV VILLAS - AHO</t>
  </si>
  <si>
    <t>BANCO PICHINCHA</t>
  </si>
  <si>
    <t>DAVIVIENDA INT REASEGUROS</t>
  </si>
  <si>
    <t>TIPO OP</t>
  </si>
  <si>
    <t>OP</t>
  </si>
  <si>
    <t>CONCEPTO</t>
  </si>
  <si>
    <t>62250766-0</t>
  </si>
  <si>
    <t>62250774-0</t>
  </si>
  <si>
    <t>62250782-0</t>
  </si>
  <si>
    <t>867614010</t>
  </si>
  <si>
    <t>010002000127</t>
  </si>
  <si>
    <t>010003000003</t>
  </si>
  <si>
    <t>000977298</t>
  </si>
  <si>
    <t>000268649</t>
  </si>
  <si>
    <t>000977280</t>
  </si>
  <si>
    <t>000977272</t>
  </si>
  <si>
    <t>000826701</t>
  </si>
  <si>
    <t>005597176</t>
  </si>
  <si>
    <t>005595639</t>
  </si>
  <si>
    <t>005597183</t>
  </si>
  <si>
    <t>005595646</t>
  </si>
  <si>
    <t>2113700</t>
  </si>
  <si>
    <t>2114920</t>
  </si>
  <si>
    <t>2113692</t>
  </si>
  <si>
    <t>2113718</t>
  </si>
  <si>
    <t>0172120172</t>
  </si>
  <si>
    <t>0172120180</t>
  </si>
  <si>
    <t>0172120199</t>
  </si>
  <si>
    <t>17171122902</t>
  </si>
  <si>
    <t>17171123003</t>
  </si>
  <si>
    <t>´03199361537</t>
  </si>
  <si>
    <t>036273662</t>
  </si>
  <si>
    <t>036297810</t>
  </si>
  <si>
    <t>036273688</t>
  </si>
  <si>
    <t>40195224</t>
  </si>
  <si>
    <t>40298119</t>
  </si>
  <si>
    <t>40299661</t>
  </si>
  <si>
    <t>137017554</t>
  </si>
  <si>
    <t>137008629</t>
  </si>
  <si>
    <t>137017562</t>
  </si>
  <si>
    <t>SALDO INICIAL</t>
  </si>
  <si>
    <t>CONSUMO</t>
  </si>
  <si>
    <t>VENTANILLA</t>
  </si>
  <si>
    <t>SALDO NETO INICIAL PAGADURÍA</t>
  </si>
  <si>
    <t>RENTA FIJA</t>
  </si>
  <si>
    <t>I</t>
  </si>
  <si>
    <t>PAGOS INTERCOMPAÑÍAS</t>
  </si>
  <si>
    <t>E</t>
  </si>
  <si>
    <t>INGRESOS INTERESES</t>
  </si>
  <si>
    <t>INGRESO REDENCIÓN TÍTULOS</t>
  </si>
  <si>
    <t>APERTURA ACTIVO FINANCIERO</t>
  </si>
  <si>
    <t>CANCELACIÓN ACTIVO FINANCIERO</t>
  </si>
  <si>
    <t>INTERESES ACTIVO FINANCIERO</t>
  </si>
  <si>
    <t>CANCELACIÓN KW</t>
  </si>
  <si>
    <t>PAGO INTERESES KW</t>
  </si>
  <si>
    <t>APERTURA KW</t>
  </si>
  <si>
    <t>COMPRA TÍTULOS</t>
  </si>
  <si>
    <t>COMPRA SIMULTÁNEA ACTIVA</t>
  </si>
  <si>
    <t>REDENCIÓN SIMULTÁNEA PASIVA</t>
  </si>
  <si>
    <t>VENTA TÍTULOS</t>
  </si>
  <si>
    <t>COMPRA SIMULTÁNEA PASIVA</t>
  </si>
  <si>
    <t>REDENCIÓN SIMULTÁNEA ACTIVA</t>
  </si>
  <si>
    <t>DISTRIBUCIÓN FCP</t>
  </si>
  <si>
    <t>LLAMADO CAPITAL FCP</t>
  </si>
  <si>
    <t>RETIRO DE CAPITAL ENCARGOS</t>
  </si>
  <si>
    <t>INCREMENTO DE CAPITAL ENCARGOS</t>
  </si>
  <si>
    <t>TRASLADO ARL</t>
  </si>
  <si>
    <t>RENTA VARIABLE</t>
  </si>
  <si>
    <t>COMPRA ACCIONES</t>
  </si>
  <si>
    <t>VENTA ACCIONES</t>
  </si>
  <si>
    <t>INGRESO DIVIDENDOS</t>
  </si>
  <si>
    <t>EGRESO DIVIDENDOS</t>
  </si>
  <si>
    <t>INGRESO DIVIDENDOS ETF</t>
  </si>
  <si>
    <t>DERIVADOS</t>
  </si>
  <si>
    <t>SWAP</t>
  </si>
  <si>
    <t>OPCIONES</t>
  </si>
  <si>
    <t>FORWARD</t>
  </si>
  <si>
    <t>DIVISAS</t>
  </si>
  <si>
    <t>COMPRA DIVISAS OTRAS ÁREAS</t>
  </si>
  <si>
    <t>VENTA DIVISAS OTRAS ÁREAS</t>
  </si>
  <si>
    <t>COMPRA DIVISAS REASEGUROS</t>
  </si>
  <si>
    <t>COMPRA DIVISAS COMPENSACIÓN</t>
  </si>
  <si>
    <t>VENTAS DIVISAS COMPENSACIÓN</t>
  </si>
  <si>
    <t>OTROS</t>
  </si>
  <si>
    <t>GARANTÍA SIMULTÁNEA</t>
  </si>
  <si>
    <t>EMBARGOS</t>
  </si>
  <si>
    <t>RECAUDO PRIMAS</t>
  </si>
  <si>
    <t>IMPUESTOS</t>
  </si>
  <si>
    <t>COMISIONES</t>
  </si>
  <si>
    <t>RENDIMIENTOS</t>
  </si>
  <si>
    <t>GMF</t>
  </si>
  <si>
    <t>SUB-TOTAL TESORERÍA</t>
  </si>
  <si>
    <t>SALDO FINAL CUENTAS</t>
  </si>
  <si>
    <t xml:space="preserve">  </t>
  </si>
  <si>
    <t>SOBREGIRO 31 MARZO 2026</t>
  </si>
  <si>
    <t>15.000 MM</t>
  </si>
  <si>
    <t>135.000 MM</t>
  </si>
  <si>
    <t>50.000 MM</t>
  </si>
  <si>
    <t>TOTAL ENTRADAS</t>
  </si>
  <si>
    <t xml:space="preserve">SALDO </t>
  </si>
  <si>
    <t>APERTURA DE CREDITOS Y SIMULTÁNEAS</t>
  </si>
  <si>
    <t>CITIBANK COMP CAP</t>
  </si>
  <si>
    <t xml:space="preserve">COBRO INTERESES </t>
  </si>
  <si>
    <t>CITIBANK COMP BOL</t>
  </si>
  <si>
    <t>RETIROS ENCARGOS FIDUCIARIOS</t>
  </si>
  <si>
    <t>CITIBANK COMP CLS</t>
  </si>
  <si>
    <t>REDENCION SIMULTANEAS Y REINTEGROS</t>
  </si>
  <si>
    <t>VENTAS</t>
  </si>
  <si>
    <t>VENTAS DE ACCIONES</t>
  </si>
  <si>
    <t>BOLIVAR</t>
  </si>
  <si>
    <t>BANREPUBLICA</t>
  </si>
  <si>
    <t>CAP</t>
  </si>
  <si>
    <t>TOTAL SALIDAS</t>
  </si>
  <si>
    <t>BOL</t>
  </si>
  <si>
    <t>COBRO INTERESES CREDITOS</t>
  </si>
  <si>
    <t>CLS</t>
  </si>
  <si>
    <t>COMPRA</t>
  </si>
  <si>
    <t>CANCELACIONES CREDITOS Y SIMULTÁNEAS</t>
  </si>
  <si>
    <t>DAVIVIENDA INTERNAL</t>
  </si>
  <si>
    <t>SALDO</t>
  </si>
  <si>
    <t>INCREMENTOS ENCARGOS FIDUCIARIOS</t>
  </si>
  <si>
    <t>SOCIEDADES</t>
  </si>
  <si>
    <t>SEISA</t>
  </si>
  <si>
    <t>RIBI</t>
  </si>
  <si>
    <t>COMPAÑÍA</t>
  </si>
  <si>
    <t>NÚMERO DE CUENTA</t>
  </si>
  <si>
    <t>PORTAFOLIO</t>
  </si>
  <si>
    <t>ENTIDAD</t>
  </si>
  <si>
    <t>RETIROS K Y DIST FCP</t>
  </si>
  <si>
    <t>INC K Y LLAMADO FCP</t>
  </si>
  <si>
    <t>TRASLADO</t>
  </si>
  <si>
    <t>COMISIONES Y OTROS</t>
  </si>
  <si>
    <t>SALDO FINAL</t>
  </si>
  <si>
    <t>Capitalizadora</t>
  </si>
  <si>
    <t xml:space="preserve"> 01-CH </t>
  </si>
  <si>
    <t>Banco de Bogotá</t>
  </si>
  <si>
    <t>17171123071</t>
  </si>
  <si>
    <t>Bancolombia</t>
  </si>
  <si>
    <t>Corficolombiana</t>
  </si>
  <si>
    <t>Banco Colpatria</t>
  </si>
  <si>
    <t>Banco Itau</t>
  </si>
  <si>
    <t>Bolívar</t>
  </si>
  <si>
    <t xml:space="preserve"> 02-C3 </t>
  </si>
  <si>
    <t xml:space="preserve"> 02-C7 </t>
  </si>
  <si>
    <t xml:space="preserve"> 02-C5 </t>
  </si>
  <si>
    <t xml:space="preserve"> 02-C2 </t>
  </si>
  <si>
    <t xml:space="preserve"> 02-C6 </t>
  </si>
  <si>
    <t xml:space="preserve"> 02-C4 </t>
  </si>
  <si>
    <t xml:space="preserve"> 02-CH </t>
  </si>
  <si>
    <t>Comerciales</t>
  </si>
  <si>
    <t xml:space="preserve"> 03-C2 </t>
  </si>
  <si>
    <t xml:space="preserve"> 03-CH </t>
  </si>
  <si>
    <t>TOTAL CAPITALIZADORA</t>
  </si>
  <si>
    <t>TOTAL BOLÍVAR</t>
  </si>
  <si>
    <t>TOTAL COMERCIALES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</si>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</sst>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_(* #,##0.00000_);_(* \(#,##0.00000\);_(* &quot;-&quot;??_);_(@_)"/>
    <numFmt numFmtId="168" formatCode="_ * #,##0.00_ ;_ * \-#,##0.00_ ;_ * &quot;-&quot;??_ ;_ @_ "/>
    <numFmt numFmtId="169" formatCode="\U&quot;$&quot;#,##0.00"/>
    <numFmt numFmtId="170" formatCode="\U\$#,##0.00"/>
    <numFmt numFmtId="171" formatCode="_ &quot;$&quot;\ * #,##0.00_ ;_ &quot;$&quot;\ * \-#,##0.00_ ;_ &quot;$&quot;\ * &quot;-&quot;??_ ;_ @_ "/>
    <numFmt numFmtId="172" formatCode="0.0%"/>
    <numFmt numFmtId="173" formatCode="_(&quot;$&quot;\ * #,##0.00_);_(&quot;$&quot;\ * \(#,##0.00\);_(&quot;$&quot;\ 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9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</cellStyleXfs>
  <cellXfs count="189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2" borderId="4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" fontId="0" fillId="2" borderId="4" xfId="0" applyNumberFormat="1" applyFont="1" applyFill="1" applyBorder="1" applyAlignment="1">
      <alignment horizontal="center"/>
    </xf>
    <xf numFmtId="1" fontId="0" fillId="2" borderId="4" xfId="0" quotePrefix="1" applyNumberFormat="1" applyFont="1" applyFill="1" applyBorder="1" applyAlignment="1">
      <alignment horizontal="center"/>
    </xf>
    <xf numFmtId="1" fontId="0" fillId="3" borderId="4" xfId="0" applyNumberFormat="1" applyFont="1" applyFill="1" applyBorder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5" borderId="4" xfId="0" applyFont="1" applyFill="1" applyBorder="1" applyAlignment="1">
      <alignment horizontal="center"/>
    </xf>
    <xf numFmtId="164" fontId="0" fillId="5" borderId="4" xfId="1" applyFont="1" applyFill="1" applyBorder="1" applyAlignment="1">
      <alignment horizontal="center"/>
    </xf>
    <xf numFmtId="164" fontId="0" fillId="4" borderId="4" xfId="1" applyFont="1" applyFill="1" applyBorder="1" applyAlignment="1">
      <alignment horizontal="center"/>
    </xf>
    <xf numFmtId="164" fontId="0" fillId="0" borderId="0" xfId="1" applyFont="1" applyAlignment="1">
      <alignment horizontal="center"/>
    </xf>
    <xf numFmtId="0" fontId="0" fillId="4" borderId="4" xfId="0" applyFont="1" applyFill="1" applyBorder="1" applyAlignment="1">
      <alignment horizontal="center"/>
    </xf>
    <xf numFmtId="1" fontId="0" fillId="4" borderId="4" xfId="0" applyNumberFormat="1" applyFont="1" applyFill="1" applyBorder="1" applyAlignment="1">
      <alignment horizontal="center"/>
    </xf>
    <xf numFmtId="1" fontId="0" fillId="4" borderId="4" xfId="0" quotePrefix="1" applyNumberFormat="1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left"/>
    </xf>
    <xf numFmtId="164" fontId="0" fillId="6" borderId="4" xfId="1" applyFont="1" applyFill="1" applyBorder="1"/>
    <xf numFmtId="164" fontId="4" fillId="6" borderId="4" xfId="1" applyFont="1" applyFill="1" applyBorder="1"/>
    <xf numFmtId="164" fontId="0" fillId="6" borderId="0" xfId="1" applyFont="1" applyFill="1"/>
    <xf numFmtId="164" fontId="1" fillId="6" borderId="4" xfId="1" applyFont="1" applyFill="1" applyBorder="1"/>
    <xf numFmtId="164" fontId="5" fillId="6" borderId="4" xfId="1" applyFont="1" applyFill="1" applyBorder="1"/>
    <xf numFmtId="164" fontId="0" fillId="6" borderId="4" xfId="1" applyNumberFormat="1" applyFont="1" applyFill="1" applyBorder="1"/>
    <xf numFmtId="0" fontId="0" fillId="7" borderId="4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left"/>
    </xf>
    <xf numFmtId="164" fontId="0" fillId="7" borderId="4" xfId="1" applyFont="1" applyFill="1" applyBorder="1"/>
    <xf numFmtId="164" fontId="1" fillId="7" borderId="4" xfId="1" applyFont="1" applyFill="1" applyBorder="1"/>
    <xf numFmtId="0" fontId="0" fillId="8" borderId="4" xfId="0" applyFont="1" applyFill="1" applyBorder="1" applyAlignment="1">
      <alignment horizontal="center"/>
    </xf>
    <xf numFmtId="0" fontId="0" fillId="8" borderId="4" xfId="0" applyFont="1" applyFill="1" applyBorder="1" applyAlignment="1">
      <alignment horizontal="left"/>
    </xf>
    <xf numFmtId="164" fontId="0" fillId="8" borderId="4" xfId="1" applyFont="1" applyFill="1" applyBorder="1"/>
    <xf numFmtId="164" fontId="1" fillId="8" borderId="4" xfId="1" applyFont="1" applyFill="1" applyBorder="1"/>
    <xf numFmtId="164" fontId="4" fillId="8" borderId="4" xfId="1" applyFont="1" applyFill="1" applyBorder="1"/>
    <xf numFmtId="164" fontId="2" fillId="8" borderId="4" xfId="1" applyFont="1" applyFill="1" applyBorder="1"/>
    <xf numFmtId="0" fontId="0" fillId="9" borderId="4" xfId="0" applyFont="1" applyFill="1" applyBorder="1" applyAlignment="1">
      <alignment horizontal="center"/>
    </xf>
    <xf numFmtId="0" fontId="0" fillId="9" borderId="4" xfId="0" applyFont="1" applyFill="1" applyBorder="1" applyAlignment="1">
      <alignment horizontal="left"/>
    </xf>
    <xf numFmtId="164" fontId="1" fillId="9" borderId="4" xfId="1" applyFont="1" applyFill="1" applyBorder="1"/>
    <xf numFmtId="164" fontId="0" fillId="9" borderId="4" xfId="1" applyFont="1" applyFill="1" applyBorder="1"/>
    <xf numFmtId="0" fontId="0" fillId="10" borderId="4" xfId="0" applyFont="1" applyFill="1" applyBorder="1" applyAlignment="1">
      <alignment horizontal="center"/>
    </xf>
    <xf numFmtId="0" fontId="0" fillId="10" borderId="4" xfId="0" applyFont="1" applyFill="1" applyBorder="1" applyAlignment="1">
      <alignment horizontal="left"/>
    </xf>
    <xf numFmtId="164" fontId="1" fillId="10" borderId="4" xfId="1" applyFont="1" applyFill="1" applyBorder="1"/>
    <xf numFmtId="164" fontId="0" fillId="10" borderId="4" xfId="1" applyFont="1" applyFill="1" applyBorder="1"/>
    <xf numFmtId="0" fontId="0" fillId="11" borderId="4" xfId="0" applyFont="1" applyFill="1" applyBorder="1" applyAlignment="1">
      <alignment horizontal="left"/>
    </xf>
    <xf numFmtId="164" fontId="0" fillId="11" borderId="4" xfId="1" applyFont="1" applyFill="1" applyBorder="1"/>
    <xf numFmtId="164" fontId="1" fillId="11" borderId="4" xfId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12" borderId="4" xfId="0" applyFont="1" applyFill="1" applyBorder="1" applyAlignment="1">
      <alignment horizontal="left"/>
    </xf>
    <xf numFmtId="164" fontId="3" fillId="12" borderId="4" xfId="0" applyNumberFormat="1" applyFont="1" applyFill="1" applyBorder="1"/>
    <xf numFmtId="164" fontId="0" fillId="0" borderId="0" xfId="1" applyFont="1"/>
    <xf numFmtId="43" fontId="0" fillId="0" borderId="0" xfId="0" applyNumberFormat="1" applyFont="1"/>
    <xf numFmtId="164" fontId="0" fillId="0" borderId="0" xfId="0" applyNumberFormat="1" applyFont="1"/>
    <xf numFmtId="4" fontId="0" fillId="0" borderId="0" xfId="0" applyNumberFormat="1" applyFont="1" applyFill="1" applyBorder="1"/>
    <xf numFmtId="0" fontId="0" fillId="0" borderId="0" xfId="0" applyFont="1" applyBorder="1"/>
    <xf numFmtId="165" fontId="0" fillId="0" borderId="0" xfId="1" applyNumberFormat="1" applyFont="1"/>
    <xf numFmtId="164" fontId="0" fillId="0" borderId="0" xfId="1" applyNumberFormat="1" applyFont="1"/>
    <xf numFmtId="4" fontId="3" fillId="0" borderId="0" xfId="0" applyNumberFormat="1" applyFont="1"/>
    <xf numFmtId="164" fontId="3" fillId="0" borderId="0" xfId="1" applyFont="1" applyAlignment="1">
      <alignment horizontal="left"/>
    </xf>
    <xf numFmtId="164" fontId="1" fillId="0" borderId="0" xfId="1" applyFont="1"/>
    <xf numFmtId="164" fontId="0" fillId="0" borderId="0" xfId="1" applyFont="1" applyFill="1"/>
    <xf numFmtId="43" fontId="6" fillId="0" borderId="0" xfId="0" applyNumberFormat="1" applyFont="1"/>
    <xf numFmtId="43" fontId="0" fillId="0" borderId="0" xfId="0" applyNumberFormat="1" applyFont="1" applyFill="1"/>
    <xf numFmtId="164" fontId="0" fillId="0" borderId="0" xfId="1" applyNumberFormat="1" applyFont="1" applyFill="1"/>
    <xf numFmtId="0" fontId="0" fillId="0" borderId="0" xfId="0" applyFont="1" applyFill="1"/>
    <xf numFmtId="0" fontId="0" fillId="0" borderId="0" xfId="0" applyFill="1" applyAlignment="1">
      <alignment horizontal="right"/>
    </xf>
    <xf numFmtId="164" fontId="1" fillId="0" borderId="0" xfId="1" applyFont="1" applyFill="1"/>
    <xf numFmtId="166" fontId="0" fillId="0" borderId="0" xfId="1" applyNumberFormat="1" applyFont="1"/>
    <xf numFmtId="43" fontId="0" fillId="0" borderId="0" xfId="1" applyNumberFormat="1" applyFont="1"/>
    <xf numFmtId="165" fontId="0" fillId="0" borderId="0" xfId="1" applyNumberFormat="1" applyFont="1" applyAlignment="1">
      <alignment horizontal="center"/>
    </xf>
    <xf numFmtId="164" fontId="8" fillId="0" borderId="0" xfId="1" applyFont="1" applyAlignment="1">
      <alignment horizontal="left"/>
    </xf>
    <xf numFmtId="0" fontId="3" fillId="0" borderId="0" xfId="0" applyFont="1" applyFill="1" applyAlignment="1">
      <alignment horizontal="right"/>
    </xf>
    <xf numFmtId="164" fontId="3" fillId="0" borderId="0" xfId="1" applyFont="1" applyFill="1"/>
    <xf numFmtId="167" fontId="0" fillId="0" borderId="0" xfId="1" applyNumberFormat="1" applyFont="1"/>
    <xf numFmtId="165" fontId="0" fillId="0" borderId="0" xfId="1" applyNumberFormat="1" applyFont="1" applyFill="1"/>
    <xf numFmtId="0" fontId="10" fillId="0" borderId="4" xfId="4" applyFont="1" applyBorder="1"/>
    <xf numFmtId="166" fontId="10" fillId="0" borderId="4" xfId="1" applyNumberFormat="1" applyFont="1" applyFill="1" applyBorder="1"/>
    <xf numFmtId="0" fontId="10" fillId="13" borderId="4" xfId="4" applyFont="1" applyFill="1" applyBorder="1" applyAlignment="1">
      <alignment horizontal="center"/>
    </xf>
    <xf numFmtId="164" fontId="10" fillId="0" borderId="0" xfId="3" applyNumberFormat="1" applyFont="1"/>
    <xf numFmtId="165" fontId="8" fillId="0" borderId="0" xfId="1" applyNumberFormat="1" applyFont="1" applyAlignment="1">
      <alignment horizontal="left"/>
    </xf>
    <xf numFmtId="0" fontId="4" fillId="0" borderId="4" xfId="4" applyFont="1" applyBorder="1"/>
    <xf numFmtId="166" fontId="4" fillId="0" borderId="4" xfId="1" applyNumberFormat="1" applyFont="1" applyFill="1" applyBorder="1"/>
    <xf numFmtId="168" fontId="4" fillId="13" borderId="4" xfId="5" applyFont="1" applyFill="1" applyBorder="1"/>
    <xf numFmtId="169" fontId="4" fillId="13" borderId="4" xfId="4" applyNumberFormat="1" applyFont="1" applyFill="1" applyBorder="1" applyAlignment="1">
      <alignment horizontal="right"/>
    </xf>
    <xf numFmtId="170" fontId="4" fillId="13" borderId="4" xfId="4" applyNumberFormat="1" applyFont="1" applyFill="1" applyBorder="1" applyAlignment="1">
      <alignment horizontal="right"/>
    </xf>
    <xf numFmtId="164" fontId="10" fillId="0" borderId="0" xfId="1" applyFont="1"/>
    <xf numFmtId="164" fontId="3" fillId="0" borderId="0" xfId="1" applyFont="1"/>
    <xf numFmtId="165" fontId="11" fillId="0" borderId="0" xfId="1" applyNumberFormat="1" applyFont="1" applyAlignment="1">
      <alignment horizontal="left"/>
    </xf>
    <xf numFmtId="0" fontId="0" fillId="0" borderId="0" xfId="0" applyFont="1" applyFill="1" applyAlignment="1">
      <alignment horizontal="right"/>
    </xf>
    <xf numFmtId="0" fontId="3" fillId="0" borderId="0" xfId="0" applyFont="1" applyFill="1"/>
    <xf numFmtId="0" fontId="3" fillId="0" borderId="0" xfId="0" applyFont="1" applyFill="1" applyAlignment="1">
      <alignment horizontal="left"/>
    </xf>
    <xf numFmtId="164" fontId="4" fillId="0" borderId="0" xfId="1" applyFont="1"/>
    <xf numFmtId="0" fontId="0" fillId="0" borderId="0" xfId="0" applyFill="1" applyAlignment="1">
      <alignment horizontal="left"/>
    </xf>
    <xf numFmtId="0" fontId="4" fillId="0" borderId="4" xfId="4" applyFont="1" applyBorder="1" applyAlignment="1">
      <alignment horizontal="left" vertical="center" wrapText="1"/>
    </xf>
    <xf numFmtId="164" fontId="0" fillId="0" borderId="0" xfId="1" applyFont="1" applyFill="1" applyBorder="1"/>
    <xf numFmtId="0" fontId="10" fillId="14" borderId="4" xfId="4" applyFont="1" applyFill="1" applyBorder="1" applyAlignment="1">
      <alignment horizontal="center"/>
    </xf>
    <xf numFmtId="0" fontId="0" fillId="0" borderId="0" xfId="0" applyFill="1"/>
    <xf numFmtId="168" fontId="4" fillId="14" borderId="4" xfId="5" applyFont="1" applyFill="1" applyBorder="1"/>
    <xf numFmtId="169" fontId="4" fillId="14" borderId="4" xfId="4" applyNumberFormat="1" applyFont="1" applyFill="1" applyBorder="1" applyAlignment="1">
      <alignment horizontal="right"/>
    </xf>
    <xf numFmtId="16" fontId="0" fillId="0" borderId="0" xfId="1" applyNumberFormat="1" applyFont="1"/>
    <xf numFmtId="170" fontId="4" fillId="14" borderId="4" xfId="4" applyNumberFormat="1" applyFont="1" applyFill="1" applyBorder="1" applyAlignment="1">
      <alignment horizontal="right"/>
    </xf>
    <xf numFmtId="164" fontId="3" fillId="0" borderId="0" xfId="0" applyNumberFormat="1" applyFont="1"/>
    <xf numFmtId="164" fontId="3" fillId="0" borderId="0" xfId="1" applyFont="1" applyFill="1" applyBorder="1"/>
    <xf numFmtId="0" fontId="4" fillId="0" borderId="0" xfId="4" applyFont="1"/>
    <xf numFmtId="164" fontId="4" fillId="0" borderId="0" xfId="1" applyFont="1" applyFill="1"/>
    <xf numFmtId="0" fontId="10" fillId="15" borderId="4" xfId="4" applyFont="1" applyFill="1" applyBorder="1"/>
    <xf numFmtId="0" fontId="10" fillId="15" borderId="4" xfId="4" applyFont="1" applyFill="1" applyBorder="1" applyAlignment="1">
      <alignment horizontal="center"/>
    </xf>
    <xf numFmtId="0" fontId="4" fillId="15" borderId="4" xfId="4" applyFont="1" applyFill="1" applyBorder="1"/>
    <xf numFmtId="171" fontId="4" fillId="15" borderId="4" xfId="6" applyFont="1" applyFill="1" applyBorder="1" applyAlignment="1">
      <alignment horizontal="right"/>
    </xf>
    <xf numFmtId="0" fontId="10" fillId="0" borderId="0" xfId="4" applyFont="1" applyBorder="1"/>
    <xf numFmtId="166" fontId="12" fillId="0" borderId="0" xfId="1" applyNumberFormat="1" applyFont="1" applyFill="1" applyBorder="1"/>
    <xf numFmtId="2" fontId="0" fillId="0" borderId="0" xfId="0" applyNumberFormat="1" applyFont="1"/>
    <xf numFmtId="9" fontId="0" fillId="0" borderId="0" xfId="0" applyNumberFormat="1" applyFont="1" applyFill="1"/>
    <xf numFmtId="166" fontId="4" fillId="0" borderId="4" xfId="1" applyNumberFormat="1" applyFont="1" applyBorder="1"/>
    <xf numFmtId="0" fontId="10" fillId="16" borderId="4" xfId="4" applyFont="1" applyFill="1" applyBorder="1" applyAlignment="1">
      <alignment horizontal="center"/>
    </xf>
    <xf numFmtId="0" fontId="4" fillId="16" borderId="4" xfId="4" applyFont="1" applyFill="1" applyBorder="1" applyAlignment="1">
      <alignment horizontal="left"/>
    </xf>
    <xf numFmtId="169" fontId="4" fillId="16" borderId="4" xfId="4" applyNumberFormat="1" applyFont="1" applyFill="1" applyBorder="1" applyAlignment="1">
      <alignment horizontal="right"/>
    </xf>
    <xf numFmtId="166" fontId="0" fillId="0" borderId="4" xfId="1" applyNumberFormat="1" applyFont="1" applyBorder="1"/>
    <xf numFmtId="40" fontId="4" fillId="16" borderId="4" xfId="5" applyNumberFormat="1" applyFont="1" applyFill="1" applyBorder="1" applyAlignment="1">
      <alignment horizontal="left"/>
    </xf>
    <xf numFmtId="170" fontId="4" fillId="16" borderId="4" xfId="4" applyNumberFormat="1" applyFont="1" applyFill="1" applyBorder="1" applyAlignment="1">
      <alignment horizontal="right"/>
    </xf>
    <xf numFmtId="10" fontId="0" fillId="0" borderId="0" xfId="0" applyNumberFormat="1" applyFont="1"/>
    <xf numFmtId="40" fontId="4" fillId="16" borderId="4" xfId="4" applyNumberFormat="1" applyFont="1" applyFill="1" applyBorder="1" applyAlignment="1">
      <alignment horizontal="left"/>
    </xf>
    <xf numFmtId="10" fontId="1" fillId="0" borderId="0" xfId="1" applyNumberFormat="1" applyFont="1"/>
    <xf numFmtId="172" fontId="0" fillId="0" borderId="0" xfId="3" applyNumberFormat="1" applyFont="1"/>
    <xf numFmtId="166" fontId="0" fillId="0" borderId="4" xfId="1" applyNumberFormat="1" applyFont="1" applyFill="1" applyBorder="1"/>
    <xf numFmtId="0" fontId="0" fillId="0" borderId="4" xfId="0" applyFont="1" applyBorder="1" applyAlignment="1">
      <alignment horizontal="left"/>
    </xf>
    <xf numFmtId="168" fontId="10" fillId="0" borderId="4" xfId="7" applyFont="1" applyBorder="1" applyAlignment="1">
      <alignment horizontal="center"/>
    </xf>
    <xf numFmtId="0" fontId="10" fillId="0" borderId="4" xfId="4" applyFont="1" applyBorder="1" applyAlignment="1">
      <alignment horizontal="center"/>
    </xf>
    <xf numFmtId="164" fontId="10" fillId="0" borderId="4" xfId="1" applyFont="1" applyBorder="1" applyAlignment="1">
      <alignment horizontal="center"/>
    </xf>
    <xf numFmtId="173" fontId="10" fillId="0" borderId="4" xfId="2" applyFont="1" applyBorder="1" applyAlignment="1">
      <alignment horizontal="center"/>
    </xf>
    <xf numFmtId="168" fontId="10" fillId="0" borderId="4" xfId="5" applyNumberFormat="1" applyFont="1" applyFill="1" applyBorder="1" applyAlignment="1">
      <alignment horizontal="center"/>
    </xf>
    <xf numFmtId="168" fontId="10" fillId="0" borderId="4" xfId="7" applyFont="1" applyFill="1" applyBorder="1" applyAlignment="1">
      <alignment horizontal="center"/>
    </xf>
    <xf numFmtId="168" fontId="4" fillId="0" borderId="4" xfId="7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168" fontId="4" fillId="0" borderId="4" xfId="7" applyFont="1" applyBorder="1"/>
    <xf numFmtId="164" fontId="4" fillId="0" borderId="4" xfId="1" applyFont="1" applyBorder="1"/>
    <xf numFmtId="168" fontId="4" fillId="0" borderId="4" xfId="5" applyNumberFormat="1" applyFont="1" applyFill="1" applyBorder="1" applyAlignment="1">
      <alignment horizontal="center"/>
    </xf>
    <xf numFmtId="168" fontId="4" fillId="0" borderId="4" xfId="5" applyNumberFormat="1" applyFont="1" applyFill="1" applyBorder="1"/>
    <xf numFmtId="164" fontId="4" fillId="0" borderId="4" xfId="1" applyFont="1" applyFill="1" applyBorder="1"/>
    <xf numFmtId="49" fontId="4" fillId="0" borderId="4" xfId="8" applyNumberFormat="1" applyFont="1" applyFill="1" applyBorder="1" applyAlignment="1">
      <alignment horizontal="center"/>
    </xf>
    <xf numFmtId="164" fontId="4" fillId="0" borderId="0" xfId="1" applyFont="1" applyFill="1" applyBorder="1"/>
    <xf numFmtId="168" fontId="4" fillId="0" borderId="0" xfId="5" applyNumberFormat="1" applyFont="1" applyFill="1" applyBorder="1"/>
    <xf numFmtId="1" fontId="1" fillId="0" borderId="0" xfId="1" applyNumberFormat="1" applyFont="1"/>
    <xf numFmtId="1" fontId="0" fillId="0" borderId="0" xfId="1" applyNumberFormat="1" applyFont="1" applyFill="1"/>
    <xf numFmtId="0" fontId="15" fillId="0" borderId="0" xfId="0" applyFont="1" applyFill="1"/>
    <xf numFmtId="0" fontId="16" fillId="0" borderId="0" xfId="0" applyFont="1" applyFill="1"/>
    <xf numFmtId="164" fontId="16" fillId="0" borderId="0" xfId="1" applyFont="1" applyFill="1"/>
    <xf numFmtId="164" fontId="3" fillId="10" borderId="4" xfId="1" applyFont="1" applyFill="1" applyBorder="1"/>
    <xf numFmtId="164" fontId="7" fillId="0" borderId="0" xfId="1" applyFont="1" applyFill="1"/>
    <xf numFmtId="164" fontId="0" fillId="0" borderId="0" xfId="0" applyNumberFormat="1" applyFont="1" applyFill="1"/>
    <xf numFmtId="164" fontId="0" fillId="0" borderId="0" xfId="0" applyNumberFormat="1" applyFont="1" applyFill="1" applyAlignment="1">
      <alignment horizontal="center"/>
    </xf>
    <xf numFmtId="0" fontId="4" fillId="0" borderId="5" xfId="4" applyFont="1" applyBorder="1" applyAlignment="1">
      <alignment horizontal="center" vertical="center" textRotation="90" wrapText="1"/>
    </xf>
    <xf numFmtId="0" fontId="4" fillId="0" borderId="7" xfId="4" applyFont="1" applyBorder="1" applyAlignment="1">
      <alignment horizontal="center" vertical="center" textRotation="90" wrapText="1"/>
    </xf>
    <xf numFmtId="0" fontId="4" fillId="0" borderId="6" xfId="4" applyFont="1" applyBorder="1" applyAlignment="1">
      <alignment horizontal="center" vertical="center" textRotation="90" wrapText="1"/>
    </xf>
    <xf numFmtId="0" fontId="0" fillId="7" borderId="4" xfId="0" applyFont="1" applyFill="1" applyBorder="1" applyAlignment="1">
      <alignment horizontal="center" vertical="center" textRotation="90" wrapText="1"/>
    </xf>
    <xf numFmtId="0" fontId="0" fillId="8" borderId="4" xfId="0" applyFont="1" applyFill="1" applyBorder="1" applyAlignment="1">
      <alignment horizontal="center" vertical="center" textRotation="90" wrapText="1"/>
    </xf>
    <xf numFmtId="0" fontId="0" fillId="9" borderId="4" xfId="0" applyFont="1" applyFill="1" applyBorder="1" applyAlignment="1">
      <alignment horizontal="center" vertical="center" textRotation="90" wrapText="1"/>
    </xf>
    <xf numFmtId="0" fontId="0" fillId="10" borderId="4" xfId="0" applyFont="1" applyFill="1" applyBorder="1" applyAlignment="1">
      <alignment horizontal="center" vertical="center" textRotation="90" wrapText="1"/>
    </xf>
    <xf numFmtId="0" fontId="4" fillId="0" borderId="4" xfId="4" applyFont="1" applyBorder="1" applyAlignment="1">
      <alignment horizontal="center" vertical="center" textRotation="90" wrapText="1"/>
    </xf>
    <xf numFmtId="0" fontId="0" fillId="6" borderId="4" xfId="0" applyFont="1" applyFill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textRotation="90" wrapText="1"/>
    </xf>
    <xf numFmtId="0" fontId="0" fillId="4" borderId="7" xfId="0" applyFont="1" applyFill="1" applyBorder="1" applyAlignment="1">
      <alignment horizontal="center" vertical="center" textRotation="90" wrapText="1"/>
    </xf>
    <xf numFmtId="0" fontId="0" fillId="4" borderId="6" xfId="0" applyFont="1" applyFill="1" applyBorder="1" applyAlignment="1">
      <alignment horizontal="center" vertical="center" textRotation="90" wrapText="1"/>
    </xf>
    <xf numFmtId="164" fontId="0" fillId="0" borderId="0" xfId="1" applyNumberFormat="1" applyFont="1" applyFill="1" applyBorder="1"/>
    <xf numFmtId="164" fontId="0" fillId="0" borderId="0" xfId="1" applyNumberFormat="1" applyFont="1" applyBorder="1"/>
    <xf numFmtId="164" fontId="0" fillId="4" borderId="4" xfId="1" applyNumberFormat="1" applyFont="1" applyFill="1" applyBorder="1" applyAlignment="1">
      <alignment horizontal="center"/>
    </xf>
    <xf numFmtId="164" fontId="4" fillId="6" borderId="4" xfId="1" applyNumberFormat="1" applyFont="1" applyFill="1" applyBorder="1"/>
    <xf numFmtId="164" fontId="0" fillId="6" borderId="0" xfId="1" applyNumberFormat="1" applyFont="1" applyFill="1"/>
    <xf numFmtId="164" fontId="1" fillId="6" borderId="4" xfId="1" applyNumberFormat="1" applyFont="1" applyFill="1" applyBorder="1"/>
    <xf numFmtId="164" fontId="1" fillId="7" borderId="4" xfId="1" applyNumberFormat="1" applyFont="1" applyFill="1" applyBorder="1"/>
    <xf numFmtId="164" fontId="0" fillId="7" borderId="4" xfId="1" applyNumberFormat="1" applyFont="1" applyFill="1" applyBorder="1"/>
    <xf numFmtId="164" fontId="0" fillId="8" borderId="4" xfId="1" applyNumberFormat="1" applyFont="1" applyFill="1" applyBorder="1"/>
    <xf numFmtId="164" fontId="1" fillId="8" borderId="4" xfId="1" applyNumberFormat="1" applyFont="1" applyFill="1" applyBorder="1"/>
    <xf numFmtId="164" fontId="1" fillId="9" borderId="4" xfId="1" applyNumberFormat="1" applyFont="1" applyFill="1" applyBorder="1"/>
    <xf numFmtId="164" fontId="0" fillId="9" borderId="4" xfId="1" applyNumberFormat="1" applyFont="1" applyFill="1" applyBorder="1"/>
    <xf numFmtId="164" fontId="0" fillId="10" borderId="4" xfId="1" applyNumberFormat="1" applyFont="1" applyFill="1" applyBorder="1"/>
    <xf numFmtId="164" fontId="1" fillId="10" borderId="4" xfId="1" applyNumberFormat="1" applyFont="1" applyFill="1" applyBorder="1"/>
  </cellXfs>
  <cellStyles count="9">
    <cellStyle name="Millares" xfId="1" builtinId="3"/>
    <cellStyle name="Millares 2" xfId="7"/>
    <cellStyle name="Millares_AGO2008DEF" xfId="5"/>
    <cellStyle name="Moneda" xfId="2" builtinId="4"/>
    <cellStyle name="Moneda_AGO2008DEF" xfId="6"/>
    <cellStyle name="Normal" xfId="0" builtinId="0"/>
    <cellStyle name="Normal 2" xfId="4"/>
    <cellStyle name="Normal 7" xfId="8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GOST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O 01"/>
      <sheetName val="AGO 04"/>
      <sheetName val="AGO 05"/>
      <sheetName val="AGO 06"/>
      <sheetName val="AGO 08"/>
      <sheetName val="AGO 11"/>
      <sheetName val="AGO 12"/>
      <sheetName val="AGO 13"/>
      <sheetName val="AGO 14"/>
      <sheetName val="AGO 15"/>
      <sheetName val="AGO 19"/>
      <sheetName val="AGO 20"/>
      <sheetName val="AGO 21"/>
      <sheetName val="AGO 22"/>
      <sheetName val="AGO 25"/>
      <sheetName val="AGO 26"/>
      <sheetName val="AGO 27"/>
      <sheetName val="AGO 28"/>
      <sheetName val="AGO 29"/>
      <sheetName val="CONSOLID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5">
          <cell r="D55">
            <v>464621.61545994511</v>
          </cell>
          <cell r="E55">
            <v>7202665.2030362291</v>
          </cell>
          <cell r="F55">
            <v>14391884.123444378</v>
          </cell>
          <cell r="G55">
            <v>0</v>
          </cell>
          <cell r="H55">
            <v>0</v>
          </cell>
          <cell r="I55">
            <v>74942.279964578338</v>
          </cell>
          <cell r="J55">
            <v>0</v>
          </cell>
          <cell r="K55">
            <v>63079.012112142977</v>
          </cell>
          <cell r="L55">
            <v>226422.85016291589</v>
          </cell>
          <cell r="M55">
            <v>102258.18094473705</v>
          </cell>
          <cell r="N55">
            <v>120822.5199999999</v>
          </cell>
          <cell r="P55">
            <v>199831.79346686602</v>
          </cell>
          <cell r="R55">
            <v>497759.29450999975</v>
          </cell>
          <cell r="T55">
            <v>56516.94</v>
          </cell>
          <cell r="V55">
            <v>38030203.239999995</v>
          </cell>
          <cell r="X55">
            <v>1401713.3900000001</v>
          </cell>
          <cell r="Z55">
            <v>9662.5274983807467</v>
          </cell>
          <cell r="AB55">
            <v>7542.7499999967404</v>
          </cell>
          <cell r="AD55">
            <v>5155</v>
          </cell>
          <cell r="AF55">
            <v>7956.8699999451637</v>
          </cell>
          <cell r="AH55">
            <v>282242.31999999727</v>
          </cell>
          <cell r="AJ55">
            <v>675895.70999999822</v>
          </cell>
          <cell r="AL55">
            <v>26171999.376865242</v>
          </cell>
          <cell r="AM55">
            <v>97180133.138515338</v>
          </cell>
          <cell r="AN55">
            <v>4862032.3394600004</v>
          </cell>
          <cell r="AO55">
            <v>919690.74515144003</v>
          </cell>
          <cell r="AP55">
            <v>10424918.118880145</v>
          </cell>
          <cell r="AQ55">
            <v>1218366.3245821637</v>
          </cell>
          <cell r="AR55">
            <v>33467.106463993005</v>
          </cell>
          <cell r="AS55">
            <v>6.3419079996137473</v>
          </cell>
          <cell r="AT55">
            <v>11.326432002509915</v>
          </cell>
          <cell r="AU55">
            <v>70852.565203997277</v>
          </cell>
          <cell r="AV55">
            <v>529097.77060280275</v>
          </cell>
          <cell r="AW55">
            <v>87470.533549996806</v>
          </cell>
          <cell r="AX55">
            <v>1064.5961240010877</v>
          </cell>
          <cell r="AY55">
            <v>181309.04110000003</v>
          </cell>
          <cell r="AZ55">
            <v>23756.924137323233</v>
          </cell>
          <cell r="BA55">
            <v>205865.95172400694</v>
          </cell>
          <cell r="BB55">
            <v>71290.18621999117</v>
          </cell>
          <cell r="BC55">
            <v>271948.65584799863</v>
          </cell>
          <cell r="BD55">
            <v>17375.68359998985</v>
          </cell>
          <cell r="BE55">
            <v>256616.86652368054</v>
          </cell>
          <cell r="BF55">
            <v>294814.03831035987</v>
          </cell>
          <cell r="BG55">
            <v>35110.408018882757</v>
          </cell>
          <cell r="BH55">
            <v>24605.160800002101</v>
          </cell>
          <cell r="BI55">
            <v>207727.90101</v>
          </cell>
          <cell r="BJ55">
            <v>154010.6032805602</v>
          </cell>
          <cell r="BK55">
            <v>4837922.1225280128</v>
          </cell>
          <cell r="BL55">
            <v>114992.77830244607</v>
          </cell>
          <cell r="BM55">
            <v>1090174.2629771638</v>
          </cell>
          <cell r="BN55">
            <v>1242100.1789373821</v>
          </cell>
          <cell r="BO55">
            <v>3.4691202304202307E-3</v>
          </cell>
          <cell r="BP55">
            <v>260.70849932906538</v>
          </cell>
          <cell r="BQ55">
            <v>4.0128798844989433E-3</v>
          </cell>
          <cell r="BR55">
            <v>358178.96600000339</v>
          </cell>
          <cell r="BS55">
            <v>1439553.5139906891</v>
          </cell>
          <cell r="BT55">
            <v>231922.66493201788</v>
          </cell>
          <cell r="BU55">
            <v>932118.04822278419</v>
          </cell>
          <cell r="BV55">
            <v>9460.5788599999996</v>
          </cell>
          <cell r="BW55">
            <v>111247.72</v>
          </cell>
          <cell r="BX55">
            <v>22663.665389999998</v>
          </cell>
          <cell r="BY55">
            <v>1110929.4579400006</v>
          </cell>
          <cell r="BZ55">
            <v>-12760.020860011689</v>
          </cell>
          <cell r="CA55">
            <v>7114722.5355599923</v>
          </cell>
          <cell r="CB55">
            <v>19818.56624</v>
          </cell>
          <cell r="CC55">
            <v>1067885.7919999999</v>
          </cell>
          <cell r="CD55">
            <v>0</v>
          </cell>
          <cell r="CE55">
            <v>23629.152999999995</v>
          </cell>
          <cell r="CF55">
            <v>719967.15159000002</v>
          </cell>
          <cell r="CG55">
            <v>441343.13250000001</v>
          </cell>
          <cell r="CH55">
            <v>2.9318200000000001</v>
          </cell>
          <cell r="CI55">
            <v>831592.30421999923</v>
          </cell>
          <cell r="CJ55">
            <v>528219.12153999973</v>
          </cell>
          <cell r="CK55">
            <v>0</v>
          </cell>
          <cell r="CL55">
            <v>0</v>
          </cell>
          <cell r="CM55">
            <v>79545.207070000004</v>
          </cell>
          <cell r="CN55">
            <v>647657.33605000004</v>
          </cell>
          <cell r="CO55">
            <v>736464.8368199995</v>
          </cell>
          <cell r="CP55">
            <v>9152723.6727600005</v>
          </cell>
          <cell r="CQ55">
            <v>377715.39094000001</v>
          </cell>
          <cell r="CR55">
            <v>903266.84160000039</v>
          </cell>
          <cell r="CS55">
            <v>5013.4199999999992</v>
          </cell>
          <cell r="CT55">
            <v>20149.387893799994</v>
          </cell>
          <cell r="CU55">
            <v>5013.4199999999992</v>
          </cell>
          <cell r="CV55">
            <v>20149.387893799994</v>
          </cell>
        </row>
      </sheetData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'[1]AGO 29'!$D$55</f>
        <v>464621.61545994511</v>
      </c>
      <c r="E5" s="18">
        <f>'[1]AGO 29'!$E$55</f>
        <v>7202665.2030362291</v>
      </c>
      <c r="F5" s="18">
        <f>'[1]AGO 29'!$F$55</f>
        <v>14391884.123444378</v>
      </c>
      <c r="G5" s="18">
        <f>'[1]AGO 29'!$G$55</f>
        <v>0</v>
      </c>
      <c r="H5" s="18">
        <f>'[1]AGO 29'!$H$55</f>
        <v>0</v>
      </c>
      <c r="I5" s="18">
        <f>'[1]AGO 29'!$I$55</f>
        <v>74942.279964578338</v>
      </c>
      <c r="J5" s="18">
        <f>'[1]AGO 29'!$J$55</f>
        <v>0</v>
      </c>
      <c r="K5" s="18">
        <f>'[1]AGO 29'!$K$55</f>
        <v>63079.012112142977</v>
      </c>
      <c r="L5" s="18">
        <f>'[1]AGO 29'!$L$55</f>
        <v>226422.85016291589</v>
      </c>
      <c r="M5" s="18">
        <f>'[1]AGO 29'!$M$55</f>
        <v>102258.18094473705</v>
      </c>
      <c r="N5" s="18">
        <f>'[1]AGO 29'!$N$55</f>
        <v>120822.5199999999</v>
      </c>
      <c r="O5" s="18">
        <f>(N5*4018.41)/1000</f>
        <v>485514.42259319959</v>
      </c>
      <c r="P5" s="18">
        <f>'[1]AGO 29'!$P$55</f>
        <v>199831.79346686602</v>
      </c>
      <c r="Q5" s="18">
        <f>(P5*4018.41)/1000</f>
        <v>803006.077185189</v>
      </c>
      <c r="R5" s="18">
        <f>'[1]AGO 29'!$R$55</f>
        <v>497759.29450999975</v>
      </c>
      <c r="S5" s="18">
        <f>(R5*4018.41)/1000</f>
        <v>2000200.9266519279</v>
      </c>
      <c r="T5" s="18">
        <f>'[1]AGO 29'!$T$55</f>
        <v>56516.94</v>
      </c>
      <c r="U5" s="18">
        <f>(T5*4018.41)/1000</f>
        <v>227108.23686539999</v>
      </c>
      <c r="V5" s="18">
        <f>'[1]AGO 29'!$V$55</f>
        <v>38030203.239999995</v>
      </c>
      <c r="W5" s="18">
        <f>(V5*4018.41)/1000</f>
        <v>152820949.00164837</v>
      </c>
      <c r="X5" s="18">
        <f>'[1]AGO 29'!$X$55</f>
        <v>1401713.3900000001</v>
      </c>
      <c r="Y5" s="18">
        <f>(X5*4018.41)/1000</f>
        <v>5632659.1035099002</v>
      </c>
      <c r="Z5" s="18">
        <f>'[1]AGO 29'!$Z$55</f>
        <v>9662.5274983807467</v>
      </c>
      <c r="AA5" s="18">
        <f>(Z5*4018.41)/1000</f>
        <v>38827.997124768175</v>
      </c>
      <c r="AB5" s="18">
        <f>'[1]AGO 29'!$AB$55</f>
        <v>7542.7499999967404</v>
      </c>
      <c r="AC5" s="18">
        <f>(AB5*4018.41)/1000</f>
        <v>30309.862027486903</v>
      </c>
      <c r="AD5" s="18">
        <f>'[1]AGO 29'!$AD$55</f>
        <v>5155</v>
      </c>
      <c r="AE5" s="18">
        <f>(AD5*4018.41)/1000</f>
        <v>20714.903549999999</v>
      </c>
      <c r="AF5" s="18">
        <f>'[1]AGO 29'!$AF$55</f>
        <v>7956.8699999451637</v>
      </c>
      <c r="AG5" s="18">
        <f>(AF5*4018.41)/1000</f>
        <v>31973.965976479645</v>
      </c>
      <c r="AH5" s="18">
        <f>'[1]AGO 29'!$AH$55</f>
        <v>282242.31999999727</v>
      </c>
      <c r="AI5" s="18">
        <f>(AH5*4018.41)/1000</f>
        <v>1134165.3611111888</v>
      </c>
      <c r="AJ5" s="18">
        <f>'[1]AGO 29'!$AJ$55</f>
        <v>675895.70999999822</v>
      </c>
      <c r="AK5" s="18">
        <f>(AJ5*4018.41)/1000</f>
        <v>2716026.0800210927</v>
      </c>
      <c r="AL5" s="18">
        <f>'[1]AGO 29'!$AL$55</f>
        <v>26171999.376865242</v>
      </c>
      <c r="AM5" s="18">
        <f>'[1]AGO 29'!$AM$55</f>
        <v>97180133.138515338</v>
      </c>
      <c r="AN5" s="18">
        <f>'[1]AGO 29'!$AN$55</f>
        <v>4862032.3394600004</v>
      </c>
      <c r="AO5" s="18">
        <f>'[1]AGO 29'!$AO$55</f>
        <v>919690.74515144003</v>
      </c>
      <c r="AP5" s="18">
        <f>'[1]AGO 29'!$AP$55</f>
        <v>10424918.118880145</v>
      </c>
      <c r="AQ5" s="18">
        <f>'[1]AGO 29'!$AQ$55</f>
        <v>1218366.3245821637</v>
      </c>
      <c r="AR5" s="18">
        <f>'[1]AGO 29'!$AR$55</f>
        <v>33467.106463993005</v>
      </c>
      <c r="AS5" s="18">
        <f>'[1]AGO 29'!$AS$55</f>
        <v>6.3419079996137473</v>
      </c>
      <c r="AT5" s="18">
        <f>'[1]AGO 29'!$AT$55</f>
        <v>11.326432002509915</v>
      </c>
      <c r="AU5" s="18">
        <f>'[1]AGO 29'!$AU$55</f>
        <v>70852.565203997277</v>
      </c>
      <c r="AV5" s="18">
        <f>'[1]AGO 29'!$AV$55</f>
        <v>529097.77060280275</v>
      </c>
      <c r="AW5" s="18">
        <f>'[1]AGO 29'!$AW$55</f>
        <v>87470.533549996806</v>
      </c>
      <c r="AX5" s="18">
        <f>'[1]AGO 29'!$AX$55</f>
        <v>1064.5961240010877</v>
      </c>
      <c r="AY5" s="18">
        <f>'[1]AGO 29'!$AY$55</f>
        <v>181309.04110000003</v>
      </c>
      <c r="AZ5" s="18">
        <f>'[1]AGO 29'!$AZ$55</f>
        <v>23756.924137323233</v>
      </c>
      <c r="BA5" s="18">
        <f>'[1]AGO 29'!$BA$55</f>
        <v>205865.95172400694</v>
      </c>
      <c r="BB5" s="18">
        <f>'[1]AGO 29'!$BB$55</f>
        <v>71290.18621999117</v>
      </c>
      <c r="BC5" s="18">
        <f>'[1]AGO 29'!$BC$55</f>
        <v>271948.65584799863</v>
      </c>
      <c r="BD5" s="18">
        <f>'[1]AGO 29'!$BD$55</f>
        <v>17375.68359998985</v>
      </c>
      <c r="BE5" s="18">
        <f>'[1]AGO 29'!$BE$55</f>
        <v>256616.86652368054</v>
      </c>
      <c r="BF5" s="18">
        <f>'[1]AGO 29'!$BF$55</f>
        <v>294814.03831035987</v>
      </c>
      <c r="BG5" s="18">
        <f>'[1]AGO 29'!$BG$55</f>
        <v>35110.408018882757</v>
      </c>
      <c r="BH5" s="18">
        <f>'[1]AGO 29'!$BH$55</f>
        <v>24605.160800002101</v>
      </c>
      <c r="BI5" s="18">
        <f>'[1]AGO 29'!$BI$55</f>
        <v>207727.90101</v>
      </c>
      <c r="BJ5" s="18">
        <f>'[1]AGO 29'!$BJ$55</f>
        <v>154010.6032805602</v>
      </c>
      <c r="BK5" s="18">
        <f>'[1]AGO 29'!$BK$55</f>
        <v>4837922.1225280128</v>
      </c>
      <c r="BL5" s="18">
        <f>'[1]AGO 29'!$BL$55</f>
        <v>114992.77830244607</v>
      </c>
      <c r="BM5" s="18">
        <f>'[1]AGO 29'!$BM$55</f>
        <v>1090174.2629771638</v>
      </c>
      <c r="BN5" s="18">
        <f>'[1]AGO 29'!$BN$55</f>
        <v>1242100.1789373821</v>
      </c>
      <c r="BO5" s="18">
        <f>'[1]AGO 29'!$BO$55</f>
        <v>3.4691202304202307E-3</v>
      </c>
      <c r="BP5" s="18">
        <f>'[1]AGO 29'!$BP$55</f>
        <v>260.70849932906538</v>
      </c>
      <c r="BQ5" s="18">
        <f>'[1]AGO 29'!$BQ$55</f>
        <v>4.0128798844989433E-3</v>
      </c>
      <c r="BR5" s="18">
        <f>'[1]AGO 29'!$BR$55</f>
        <v>358178.96600000339</v>
      </c>
      <c r="BS5" s="18">
        <f>'[1]AGO 29'!$BS$55</f>
        <v>1439553.5139906891</v>
      </c>
      <c r="BT5" s="18">
        <f>'[1]AGO 29'!$BT$55</f>
        <v>231922.66493201788</v>
      </c>
      <c r="BU5" s="18">
        <f>'[1]AGO 29'!$BU$55</f>
        <v>932118.04822278419</v>
      </c>
      <c r="BV5" s="18">
        <f>'[1]AGO 29'!$BV$55</f>
        <v>9460.5788599999996</v>
      </c>
      <c r="BW5" s="18">
        <f>'[1]AGO 29'!$BW$55</f>
        <v>111247.72</v>
      </c>
      <c r="BX5" s="18">
        <f>'[1]AGO 29'!$BX$55</f>
        <v>22663.665389999998</v>
      </c>
      <c r="BY5" s="18">
        <f>'[1]AGO 29'!$BY$55</f>
        <v>1110929.4579400006</v>
      </c>
      <c r="BZ5" s="18">
        <f>'[1]AGO 29'!$BZ$55</f>
        <v>-12760.020860011689</v>
      </c>
      <c r="CA5" s="18">
        <f>'[1]AGO 29'!$CA$55</f>
        <v>7114722.5355599923</v>
      </c>
      <c r="CB5" s="18">
        <f>'[1]AGO 29'!$CB$55</f>
        <v>19818.56624</v>
      </c>
      <c r="CC5" s="18">
        <f>'[1]AGO 29'!$CC$55</f>
        <v>1067885.7919999999</v>
      </c>
      <c r="CD5" s="18">
        <f>'[1]AGO 29'!$CD$55</f>
        <v>0</v>
      </c>
      <c r="CE5" s="18">
        <f>'[1]AGO 29'!$CE$55</f>
        <v>23629.152999999995</v>
      </c>
      <c r="CF5" s="18">
        <f>'[1]AGO 29'!$CF$55</f>
        <v>719967.15159000002</v>
      </c>
      <c r="CG5" s="18">
        <f>'[1]AGO 29'!$CG$55</f>
        <v>441343.13250000001</v>
      </c>
      <c r="CH5" s="18">
        <f>'[1]AGO 29'!$CH$55</f>
        <v>2.9318200000000001</v>
      </c>
      <c r="CI5" s="18">
        <f>'[1]AGO 29'!$CI$55</f>
        <v>831592.30421999923</v>
      </c>
      <c r="CJ5" s="18">
        <f>'[1]AGO 29'!$CJ$55</f>
        <v>528219.12153999973</v>
      </c>
      <c r="CK5" s="18">
        <f>'[1]AGO 29'!$CK$55</f>
        <v>0</v>
      </c>
      <c r="CL5" s="18">
        <f>'[1]AGO 29'!$CL$55</f>
        <v>0</v>
      </c>
      <c r="CM5" s="18">
        <f>'[1]AGO 29'!$CM$55</f>
        <v>79545.207070000004</v>
      </c>
      <c r="CN5" s="18">
        <f>'[1]AGO 29'!$CN$55</f>
        <v>647657.33605000004</v>
      </c>
      <c r="CO5" s="18">
        <f>'[1]AGO 29'!$CO$55</f>
        <v>736464.8368199995</v>
      </c>
      <c r="CP5" s="18">
        <f>'[1]AGO 29'!$CP$55</f>
        <v>9152723.6727600005</v>
      </c>
      <c r="CQ5" s="18">
        <f>'[1]AGO 29'!$CQ$55</f>
        <v>377715.39094000001</v>
      </c>
      <c r="CR5" s="18">
        <f>'[1]AGO 29'!$CR$55</f>
        <v>903266.84160000039</v>
      </c>
      <c r="CS5" s="18">
        <f>'[1]AGO 29'!$CS$55</f>
        <v>5013.4199999999992</v>
      </c>
      <c r="CT5" s="18">
        <f>'[1]AGO 29'!$CT$55</f>
        <v>20149.387893799994</v>
      </c>
      <c r="CU5" s="18">
        <f>'[1]AGO 29'!$CU$55</f>
        <v>5013.4199999999992</v>
      </c>
      <c r="CV5" s="18">
        <f>'[1]AGO 29'!$CV$55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365294386.67946923</v>
      </c>
    </row>
    <row r="6" spans="1:101" s="20" customFormat="1" x14ac:dyDescent="0.3">
      <c r="A6" s="173"/>
      <c r="B6" s="19"/>
      <c r="C6" s="19" t="s">
        <v>91</v>
      </c>
      <c r="D6" s="19">
        <v>-31253.948839999994</v>
      </c>
      <c r="E6" s="19">
        <v>74335786.699840009</v>
      </c>
      <c r="F6" s="19">
        <v>5169790.9003299978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-18630.535190000144</v>
      </c>
      <c r="BZ6" s="19">
        <v>-10894956.157</v>
      </c>
      <c r="CA6" s="19">
        <v>-3064838.95</v>
      </c>
      <c r="CB6" s="19">
        <v>-2.4000000121304765E-4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433367.66661994514</v>
      </c>
      <c r="E8" s="18">
        <f t="shared" si="0"/>
        <v>81538451.902876243</v>
      </c>
      <c r="F8" s="18">
        <f t="shared" si="0"/>
        <v>19561675.023774378</v>
      </c>
      <c r="G8" s="18">
        <f t="shared" si="0"/>
        <v>0</v>
      </c>
      <c r="H8" s="18">
        <f t="shared" si="0"/>
        <v>0</v>
      </c>
      <c r="I8" s="18">
        <f t="shared" si="0"/>
        <v>74942.279964578338</v>
      </c>
      <c r="J8" s="18">
        <f t="shared" si="0"/>
        <v>0</v>
      </c>
      <c r="K8" s="18">
        <f t="shared" si="0"/>
        <v>63079.012112142977</v>
      </c>
      <c r="L8" s="18">
        <f t="shared" si="0"/>
        <v>226422.85016291589</v>
      </c>
      <c r="M8" s="18">
        <f t="shared" si="0"/>
        <v>102258.18094473705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199831.79346686602</v>
      </c>
      <c r="Q8" s="18">
        <f t="shared" si="0"/>
        <v>803006.077185189</v>
      </c>
      <c r="R8" s="18">
        <f t="shared" si="0"/>
        <v>497759.29450999975</v>
      </c>
      <c r="S8" s="18">
        <f t="shared" si="0"/>
        <v>2000200.9266519279</v>
      </c>
      <c r="T8" s="18">
        <f t="shared" si="0"/>
        <v>56516.94</v>
      </c>
      <c r="U8" s="18">
        <f t="shared" si="0"/>
        <v>227108.23686539999</v>
      </c>
      <c r="V8" s="18">
        <f t="shared" si="0"/>
        <v>38030203.239999995</v>
      </c>
      <c r="W8" s="18">
        <f t="shared" si="0"/>
        <v>152820949.00164837</v>
      </c>
      <c r="X8" s="18">
        <f t="shared" si="0"/>
        <v>1401713.3900000001</v>
      </c>
      <c r="Y8" s="18">
        <f t="shared" si="0"/>
        <v>5632659.1035099002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26171999.376865242</v>
      </c>
      <c r="AM8" s="18">
        <f t="shared" si="0"/>
        <v>97180133.138515338</v>
      </c>
      <c r="AN8" s="18">
        <f t="shared" si="0"/>
        <v>4862032.3394600004</v>
      </c>
      <c r="AO8" s="18">
        <f t="shared" si="0"/>
        <v>919690.74515144003</v>
      </c>
      <c r="AP8" s="18">
        <f t="shared" si="0"/>
        <v>10424918.118880145</v>
      </c>
      <c r="AQ8" s="18">
        <f t="shared" si="0"/>
        <v>1218366.3245821637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181309.04110000003</v>
      </c>
      <c r="AZ8" s="18">
        <f t="shared" si="0"/>
        <v>23756.924137323233</v>
      </c>
      <c r="BA8" s="18">
        <f t="shared" si="0"/>
        <v>205865.95172400694</v>
      </c>
      <c r="BB8" s="18">
        <f t="shared" si="0"/>
        <v>71290.18621999117</v>
      </c>
      <c r="BC8" s="18">
        <f t="shared" si="0"/>
        <v>271948.65584799863</v>
      </c>
      <c r="BD8" s="18">
        <f t="shared" si="0"/>
        <v>17375.68359998985</v>
      </c>
      <c r="BE8" s="18">
        <f t="shared" si="0"/>
        <v>256616.86652368054</v>
      </c>
      <c r="BF8" s="18">
        <f t="shared" si="0"/>
        <v>294814.03831035987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4837922.1225280128</v>
      </c>
      <c r="BL8" s="18">
        <f t="shared" si="0"/>
        <v>114992.77830244607</v>
      </c>
      <c r="BM8" s="18">
        <f t="shared" si="0"/>
        <v>1090174.2629771638</v>
      </c>
      <c r="BN8" s="18">
        <f t="shared" si="0"/>
        <v>1242100.1789373821</v>
      </c>
      <c r="BO8" s="18">
        <f t="shared" si="0"/>
        <v>3.4691202304202307E-3</v>
      </c>
      <c r="BP8" s="18">
        <f t="shared" si="0"/>
        <v>260.70849932906538</v>
      </c>
      <c r="BQ8" s="18">
        <f t="shared" si="0"/>
        <v>4.0128798844989433E-3</v>
      </c>
      <c r="BR8" s="18">
        <f t="shared" si="0"/>
        <v>358178.96600000339</v>
      </c>
      <c r="BS8" s="18">
        <f t="shared" si="0"/>
        <v>1439553.5139906891</v>
      </c>
      <c r="BT8" s="18">
        <f t="shared" ref="BT8:CV8" si="1">BT5+BT6+BT7</f>
        <v>231922.66493201788</v>
      </c>
      <c r="BU8" s="18">
        <f t="shared" si="1"/>
        <v>932118.04822278419</v>
      </c>
      <c r="BV8" s="18">
        <f t="shared" si="1"/>
        <v>9460.5788599999996</v>
      </c>
      <c r="BW8" s="18">
        <f t="shared" si="1"/>
        <v>111247.72</v>
      </c>
      <c r="BX8" s="18">
        <f t="shared" si="1"/>
        <v>22663.665389999998</v>
      </c>
      <c r="BY8" s="18">
        <f>+BY5+BY6+BY7:BZ7</f>
        <v>1092298.9227500004</v>
      </c>
      <c r="BZ8" s="18">
        <f t="shared" si="1"/>
        <v>-10907716.17786001</v>
      </c>
      <c r="CA8" s="18">
        <f t="shared" si="1"/>
        <v>4049883.5855599921</v>
      </c>
      <c r="CB8" s="18">
        <f t="shared" si="1"/>
        <v>19818.565999999999</v>
      </c>
      <c r="CC8" s="18">
        <f t="shared" si="1"/>
        <v>1067885.7919999999</v>
      </c>
      <c r="CD8" s="18">
        <f t="shared" si="1"/>
        <v>0</v>
      </c>
      <c r="CE8" s="18">
        <f t="shared" si="1"/>
        <v>23629.152999999995</v>
      </c>
      <c r="CF8" s="18">
        <f t="shared" si="1"/>
        <v>719967.15159000002</v>
      </c>
      <c r="CG8" s="18">
        <f t="shared" si="1"/>
        <v>441343.13250000001</v>
      </c>
      <c r="CH8" s="18">
        <f t="shared" si="1"/>
        <v>2.9318200000000001</v>
      </c>
      <c r="CI8" s="18">
        <f t="shared" si="1"/>
        <v>831592.30421999923</v>
      </c>
      <c r="CJ8" s="18">
        <f t="shared" si="1"/>
        <v>528219.12153999973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903266.84160000039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430790284.68836921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v>283416</v>
      </c>
      <c r="M11" s="26">
        <f>96354+231270</f>
        <v>327624</v>
      </c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611040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>
        <v>-8143610.4000000004</v>
      </c>
      <c r="M20" s="29">
        <v>-12063579.300000001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-20207189.700000003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-106891442.23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-106891442.23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>
        <v>4254235</v>
      </c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4254235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152197005.84599999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152197005.84599999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0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/>
      <c r="E27" s="29">
        <v>5000000</v>
      </c>
      <c r="F27" s="29"/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10800000</v>
      </c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15800000</v>
      </c>
    </row>
    <row r="28" spans="1:101" x14ac:dyDescent="0.3">
      <c r="A28" s="166"/>
      <c r="B28" s="24" t="s">
        <v>97</v>
      </c>
      <c r="C28" s="25" t="s">
        <v>115</v>
      </c>
      <c r="D28" s="26">
        <v>-15000</v>
      </c>
      <c r="E28" s="26"/>
      <c r="F28" s="26"/>
      <c r="G28" s="26"/>
      <c r="H28" s="26"/>
      <c r="I28" s="26"/>
      <c r="J28" s="26"/>
      <c r="K28" s="26"/>
      <c r="L28" s="27">
        <v>-22450000</v>
      </c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-22465000</v>
      </c>
    </row>
    <row r="29" spans="1:101" x14ac:dyDescent="0.3">
      <c r="A29" s="166"/>
      <c r="B29" s="24"/>
      <c r="C29" s="25" t="s">
        <v>116</v>
      </c>
      <c r="D29" s="26"/>
      <c r="E29" s="29">
        <v>15801000</v>
      </c>
      <c r="F29" s="29">
        <f>-12870000+12870000-12870000</f>
        <v>-12870000</v>
      </c>
      <c r="G29" s="26"/>
      <c r="H29" s="26"/>
      <c r="I29" s="29"/>
      <c r="J29" s="26"/>
      <c r="K29" s="26"/>
      <c r="L29" s="29">
        <v>-15801000</v>
      </c>
      <c r="M29" s="29">
        <v>12870000</v>
      </c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9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>
        <v>213919.09684000001</v>
      </c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213919.09684000001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0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f>-796900-1186080-1799280</f>
        <v>-3782260</v>
      </c>
      <c r="M38" s="39">
        <f>-318760-478140-199920</f>
        <v>-996820</v>
      </c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-4779080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f>-2.542-0.01</f>
        <v>-2.5519999999999996</v>
      </c>
      <c r="BB50" s="49">
        <v>-0.88</v>
      </c>
      <c r="BC50" s="49">
        <v>-3.3580000000000001</v>
      </c>
      <c r="BD50" s="49">
        <v>-0.215</v>
      </c>
      <c r="BE50" s="49">
        <v>-0.76251999999999998</v>
      </c>
      <c r="BF50" s="49"/>
      <c r="BG50" s="49"/>
      <c r="BH50" s="49"/>
      <c r="BI50" s="49"/>
      <c r="BJ50" s="49"/>
      <c r="BK50" s="49"/>
      <c r="BL50" s="49">
        <v>-1.4890000000000001</v>
      </c>
      <c r="BM50" s="49">
        <f>-14.115-0.01</f>
        <v>-14.125</v>
      </c>
      <c r="BN50" s="49">
        <v>-16.082000000000001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-40.433520000000001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-2085.0659999999998</v>
      </c>
      <c r="F51" s="49">
        <v>-132.012</v>
      </c>
      <c r="G51" s="49"/>
      <c r="H51" s="49"/>
      <c r="I51" s="49"/>
      <c r="J51" s="49"/>
      <c r="K51" s="48">
        <f>-714.119-0.01</f>
        <v>-714.12900000000002</v>
      </c>
      <c r="L51" s="48">
        <f>-16.517-844.543-0.01</f>
        <v>-861.07</v>
      </c>
      <c r="M51" s="48">
        <f>-4.129-714.119</f>
        <v>-718.24800000000005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-4510.5249999999996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f>13.86193+0.01</f>
        <v>13.871929999999999</v>
      </c>
      <c r="J52" s="49"/>
      <c r="K52" s="49"/>
      <c r="L52" s="48"/>
      <c r="M52" s="48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36.316000000000003</v>
      </c>
      <c r="BB52" s="49">
        <f>12.576+0.01</f>
        <v>12.586</v>
      </c>
      <c r="BC52" s="49">
        <f>47.973+0.01</f>
        <v>47.982999999999997</v>
      </c>
      <c r="BD52" s="49">
        <v>3.0649999999999999</v>
      </c>
      <c r="BE52" s="49">
        <v>10.89315</v>
      </c>
      <c r="BF52" s="49">
        <f>13.44492+0.01</f>
        <v>13.45492</v>
      </c>
      <c r="BG52" s="49"/>
      <c r="BH52" s="49"/>
      <c r="BI52" s="49"/>
      <c r="BJ52" s="49"/>
      <c r="BK52" s="49"/>
      <c r="BL52" s="49">
        <v>21.27</v>
      </c>
      <c r="BM52" s="49">
        <v>201.64753999999999</v>
      </c>
      <c r="BN52" s="49">
        <v>229.749</v>
      </c>
      <c r="BO52" s="49"/>
      <c r="BP52" s="49">
        <f>48.22/1000-0.01</f>
        <v>3.8219999999999997E-2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590.87476000000004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-8.3402639999999995</v>
      </c>
      <c r="F53" s="49">
        <f>(F10+F13+F16+F17+F33+F38+F47+F35+F40)*4/1000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-2.8565160000000001</v>
      </c>
      <c r="L53" s="48">
        <f>(L10+L13+L17+L33+L38+L40+L51+L36+L49+L16)*4/1000</f>
        <v>-15132.484279999999</v>
      </c>
      <c r="M53" s="48">
        <f>(M10+M13+M17+M33+M38+M40+M51+M36+M49+M16)*4/1000</f>
        <v>-3990.1529920000003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 t="shared" si="5"/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-19133.834051999998</v>
      </c>
    </row>
    <row r="54" spans="1:101" x14ac:dyDescent="0.3">
      <c r="C54" s="50" t="s">
        <v>141</v>
      </c>
      <c r="D54" s="51">
        <f t="shared" ref="D54:AM54" si="6">SUM(D9:D53)</f>
        <v>-15000</v>
      </c>
      <c r="E54" s="51">
        <f t="shared" si="6"/>
        <v>20798906.593736</v>
      </c>
      <c r="F54" s="51">
        <f>SUM(F9:F53)</f>
        <v>-12870132.012</v>
      </c>
      <c r="G54" s="51">
        <f t="shared" si="6"/>
        <v>0</v>
      </c>
      <c r="H54" s="51">
        <f t="shared" si="6"/>
        <v>0</v>
      </c>
      <c r="I54" s="51">
        <f t="shared" si="6"/>
        <v>12.901929999999998</v>
      </c>
      <c r="J54" s="51">
        <f t="shared" si="6"/>
        <v>0</v>
      </c>
      <c r="K54" s="51">
        <f t="shared" si="6"/>
        <v>-716.98551600000008</v>
      </c>
      <c r="L54" s="52">
        <f>SUM(L9:L53)</f>
        <v>-135730.24144002443</v>
      </c>
      <c r="M54" s="51">
        <f t="shared" si="6"/>
        <v>132516.29900799927</v>
      </c>
      <c r="N54" s="51">
        <f t="shared" si="6"/>
        <v>0</v>
      </c>
      <c r="O54" s="51">
        <f t="shared" si="6"/>
        <v>0</v>
      </c>
      <c r="P54" s="51">
        <f t="shared" si="6"/>
        <v>0</v>
      </c>
      <c r="Q54" s="51">
        <f t="shared" si="6"/>
        <v>0</v>
      </c>
      <c r="R54" s="51">
        <f t="shared" si="6"/>
        <v>0</v>
      </c>
      <c r="S54" s="51">
        <f t="shared" si="6"/>
        <v>0</v>
      </c>
      <c r="T54" s="51">
        <f t="shared" si="6"/>
        <v>0</v>
      </c>
      <c r="U54" s="51">
        <f t="shared" si="6"/>
        <v>0</v>
      </c>
      <c r="V54" s="51">
        <f t="shared" si="6"/>
        <v>0</v>
      </c>
      <c r="W54" s="51">
        <f t="shared" si="6"/>
        <v>0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33.764000000000003</v>
      </c>
      <c r="BB54" s="51">
        <f t="shared" si="7"/>
        <v>11.706</v>
      </c>
      <c r="BC54" s="51">
        <f t="shared" si="7"/>
        <v>44.625</v>
      </c>
      <c r="BD54" s="51">
        <f t="shared" si="7"/>
        <v>2.85</v>
      </c>
      <c r="BE54" s="51">
        <f t="shared" si="7"/>
        <v>10.13063</v>
      </c>
      <c r="BF54" s="51">
        <f t="shared" si="7"/>
        <v>13.45492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19.780999999999999</v>
      </c>
      <c r="BM54" s="51">
        <f t="shared" si="7"/>
        <v>187.52253999999999</v>
      </c>
      <c r="BN54" s="51">
        <f t="shared" si="7"/>
        <v>213.667</v>
      </c>
      <c r="BO54" s="51">
        <f t="shared" si="7"/>
        <v>0</v>
      </c>
      <c r="BP54" s="51">
        <f t="shared" si="7"/>
        <v>3.8219999999999997E-2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10800000</v>
      </c>
      <c r="CA54" s="51">
        <f t="shared" si="7"/>
        <v>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18710394.095027976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418367.66661994514</v>
      </c>
      <c r="E55" s="56">
        <f t="shared" si="8"/>
        <v>102337358.49661225</v>
      </c>
      <c r="F55" s="56">
        <f>+F8+F54</f>
        <v>6691543.0117743779</v>
      </c>
      <c r="G55" s="56">
        <f t="shared" si="8"/>
        <v>0</v>
      </c>
      <c r="H55" s="56">
        <f t="shared" si="8"/>
        <v>0</v>
      </c>
      <c r="I55" s="56">
        <f t="shared" si="8"/>
        <v>74955.181894578345</v>
      </c>
      <c r="J55" s="56">
        <f t="shared" si="8"/>
        <v>0</v>
      </c>
      <c r="K55" s="56">
        <f t="shared" si="8"/>
        <v>62362.026596142976</v>
      </c>
      <c r="L55" s="56">
        <f t="shared" si="8"/>
        <v>90692.608722891455</v>
      </c>
      <c r="M55" s="56">
        <f t="shared" si="8"/>
        <v>234774.47995273632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199831.79346686602</v>
      </c>
      <c r="Q55" s="56">
        <f t="shared" si="8"/>
        <v>803006.077185189</v>
      </c>
      <c r="R55" s="56">
        <f t="shared" si="8"/>
        <v>497759.29450999975</v>
      </c>
      <c r="S55" s="56">
        <f t="shared" si="8"/>
        <v>2000200.9266519279</v>
      </c>
      <c r="T55" s="56">
        <f t="shared" si="8"/>
        <v>56516.94</v>
      </c>
      <c r="U55" s="56">
        <f t="shared" si="8"/>
        <v>227108.23686539999</v>
      </c>
      <c r="V55" s="56">
        <f t="shared" si="8"/>
        <v>38030203.239999995</v>
      </c>
      <c r="W55" s="56">
        <f t="shared" si="8"/>
        <v>152820949.00164837</v>
      </c>
      <c r="X55" s="56">
        <f t="shared" si="8"/>
        <v>1401713.3900000001</v>
      </c>
      <c r="Y55" s="56">
        <f t="shared" si="8"/>
        <v>5632659.1035099002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282242.31999999727</v>
      </c>
      <c r="AI55" s="56">
        <f t="shared" si="8"/>
        <v>1134165.3611111888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26171999.376865242</v>
      </c>
      <c r="AM55" s="56">
        <f t="shared" si="8"/>
        <v>97180133.138515338</v>
      </c>
      <c r="AN55" s="56">
        <f t="shared" si="8"/>
        <v>4862032.3394600004</v>
      </c>
      <c r="AO55" s="56">
        <f t="shared" si="8"/>
        <v>919690.74515144003</v>
      </c>
      <c r="AP55" s="56">
        <f t="shared" si="8"/>
        <v>10424918.118880145</v>
      </c>
      <c r="AQ55" s="56">
        <f t="shared" si="8"/>
        <v>1218366.3245821637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181309.04110000003</v>
      </c>
      <c r="AZ55" s="56">
        <f t="shared" si="8"/>
        <v>23756.924137323233</v>
      </c>
      <c r="BA55" s="56">
        <f t="shared" si="8"/>
        <v>205899.71572400694</v>
      </c>
      <c r="BB55" s="56">
        <f t="shared" si="8"/>
        <v>71301.892219991176</v>
      </c>
      <c r="BC55" s="56">
        <f t="shared" si="8"/>
        <v>271993.28084799863</v>
      </c>
      <c r="BD55" s="56">
        <f t="shared" si="8"/>
        <v>17378.533599989849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4837922.1225280128</v>
      </c>
      <c r="BL55" s="56">
        <f t="shared" si="8"/>
        <v>115012.55930244607</v>
      </c>
      <c r="BM55" s="56">
        <f t="shared" si="8"/>
        <v>1090361.7855171638</v>
      </c>
      <c r="BN55" s="56">
        <f t="shared" si="8"/>
        <v>1242313.845937382</v>
      </c>
      <c r="BO55" s="56">
        <f t="shared" si="8"/>
        <v>3.4691202304202307E-3</v>
      </c>
      <c r="BP55" s="56">
        <f t="shared" si="8"/>
        <v>260.7467193290654</v>
      </c>
      <c r="BQ55" s="56">
        <f t="shared" si="8"/>
        <v>4.0128798844989433E-3</v>
      </c>
      <c r="BR55" s="56">
        <f t="shared" si="8"/>
        <v>358178.96600000339</v>
      </c>
      <c r="BS55" s="56">
        <f t="shared" si="8"/>
        <v>1439553.5139906891</v>
      </c>
      <c r="BT55" s="56">
        <f t="shared" ref="BT55:CV55" si="9">+BT8+BT54</f>
        <v>231922.66493201788</v>
      </c>
      <c r="BU55" s="56">
        <f t="shared" si="9"/>
        <v>932118.04822278419</v>
      </c>
      <c r="BV55" s="56">
        <f t="shared" si="9"/>
        <v>9460.5788599999996</v>
      </c>
      <c r="BW55" s="56">
        <f t="shared" si="9"/>
        <v>111247.72</v>
      </c>
      <c r="BX55" s="56">
        <f t="shared" si="9"/>
        <v>22663.665389999998</v>
      </c>
      <c r="BY55" s="56">
        <f t="shared" si="9"/>
        <v>1092298.9227500004</v>
      </c>
      <c r="BZ55" s="56">
        <f t="shared" si="9"/>
        <v>-107716.17786001042</v>
      </c>
      <c r="CA55" s="56">
        <f t="shared" si="9"/>
        <v>4049883.5855599921</v>
      </c>
      <c r="CB55" s="56">
        <f t="shared" si="9"/>
        <v>19818.565999999999</v>
      </c>
      <c r="CC55" s="56">
        <f t="shared" si="9"/>
        <v>1067885.7919999999</v>
      </c>
      <c r="CD55" s="56">
        <f t="shared" si="9"/>
        <v>0</v>
      </c>
      <c r="CE55" s="56">
        <f t="shared" si="9"/>
        <v>23629.152999999995</v>
      </c>
      <c r="CF55" s="56">
        <f t="shared" si="9"/>
        <v>719967.15159000002</v>
      </c>
      <c r="CG55" s="56">
        <f t="shared" si="9"/>
        <v>441343.13250000001</v>
      </c>
      <c r="CH55" s="56">
        <f t="shared" si="9"/>
        <v>2.9318200000000001</v>
      </c>
      <c r="CI55" s="56">
        <f t="shared" si="9"/>
        <v>831592.30421999923</v>
      </c>
      <c r="CJ55" s="56">
        <f t="shared" si="9"/>
        <v>528219.12153999973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903266.84160000039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449500678.7833972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66"/>
      <c r="L57" s="67"/>
      <c r="N57" s="57"/>
      <c r="O57" s="57"/>
      <c r="P57" s="68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73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73"/>
      <c r="Q59" s="73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173076199.94283998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73"/>
      <c r="Q60" s="73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152197005.84599999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611040</v>
      </c>
      <c r="E62" s="67">
        <v>15872.5574</v>
      </c>
      <c r="F62" s="89" t="s">
        <v>153</v>
      </c>
      <c r="G62" s="91">
        <f>P55</f>
        <v>199831.79346686602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15800000</v>
      </c>
      <c r="E63" s="67" t="s">
        <v>205</v>
      </c>
      <c r="F63" s="89" t="s">
        <v>155</v>
      </c>
      <c r="G63" s="91">
        <f>R55</f>
        <v>497759.29450999975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0</v>
      </c>
      <c r="E64" s="67"/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4254235</v>
      </c>
      <c r="E65" s="67" t="s">
        <v>205</v>
      </c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213919.09684000001</v>
      </c>
      <c r="E66" s="101" t="s">
        <v>205</v>
      </c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56516.94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38030203.239999995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1401713.3900000001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62362026.596142977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-154342711.93000001</v>
      </c>
      <c r="E73" s="71"/>
      <c r="F73" s="114" t="s">
        <v>163</v>
      </c>
      <c r="G73" s="115">
        <f>L55*1000</f>
        <v>90692608.72289145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234774479.95273632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-20207189.700000003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-106891442.23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-22465000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-4779080</v>
      </c>
      <c r="E81" s="101" t="s">
        <v>205</v>
      </c>
      <c r="F81" s="128" t="s">
        <v>172</v>
      </c>
      <c r="G81" s="126">
        <f>AH55</f>
        <v>282242.31999999727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205865.95172400694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36.316000000000003</v>
      </c>
      <c r="L92" s="143">
        <f>BA50+BA51+BA53+BA40+BA42+BA43+BA45</f>
        <v>-2.5519999999999996</v>
      </c>
      <c r="M92" s="144">
        <f t="shared" si="10"/>
        <v>205899.71572400694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256616.86652368054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10.89315</v>
      </c>
      <c r="L93" s="143">
        <f>BE50+BE51+BE53+BE40+BE42+BE43+BE45</f>
        <v>-0.76251999999999998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271948.65584799863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47.982999999999997</v>
      </c>
      <c r="L98" s="143">
        <f>BC50+BC51+BC53+BC40+BC42+BC43+BC45</f>
        <v>-3.3580000000000001</v>
      </c>
      <c r="M98" s="144">
        <f t="shared" si="10"/>
        <v>271993.28084799863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71290.18621999117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12.586</v>
      </c>
      <c r="L99" s="143">
        <f>BB50+BB51+BB53+BB40+BB42+BB43+BB45</f>
        <v>-0.88</v>
      </c>
      <c r="M99" s="144">
        <f t="shared" si="10"/>
        <v>71301.892219991161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294814.03831035987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13.45492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17375.68359998985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3.0649999999999999</v>
      </c>
      <c r="L104" s="143">
        <f>BD50+BD51+BD53+BD40+BD42+BD43+BD45</f>
        <v>-0.215</v>
      </c>
      <c r="M104" s="144">
        <f t="shared" si="10"/>
        <v>17378.533599989849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181309.04110000003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181309.04110000003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608025.61906167935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47.209150000000001</v>
      </c>
      <c r="L108" s="98">
        <f t="shared" si="11"/>
        <v>-3.3145199999999995</v>
      </c>
      <c r="M108" s="98">
        <f t="shared" si="11"/>
        <v>608069.51369167934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846863.04585235287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74.02391999999999</v>
      </c>
      <c r="L109" s="98">
        <f t="shared" si="12"/>
        <v>-4.2380000000000004</v>
      </c>
      <c r="M109" s="98">
        <f t="shared" si="12"/>
        <v>846932.83177235292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458658.30120343011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3.0649999999999999</v>
      </c>
      <c r="L110" s="98">
        <f t="shared" si="13"/>
        <v>-0.215</v>
      </c>
      <c r="M110" s="98">
        <f t="shared" si="13"/>
        <v>458661.15120343008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>
    <tabColor rgb="FFFFFF00"/>
  </sheetPr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01'!D55</f>
        <v>418367.66661994514</v>
      </c>
      <c r="E5" s="18">
        <f>'SEP 01'!E55</f>
        <v>102337358.49661225</v>
      </c>
      <c r="F5" s="18">
        <f>'SEP 01'!F55</f>
        <v>6691543.0117743779</v>
      </c>
      <c r="G5" s="18">
        <f>'SEP 01'!G55</f>
        <v>0</v>
      </c>
      <c r="H5" s="18">
        <f>'SEP 01'!H55</f>
        <v>0</v>
      </c>
      <c r="I5" s="18">
        <f>'SEP 01'!I55</f>
        <v>74955.181894578345</v>
      </c>
      <c r="J5" s="18">
        <f>'SEP 01'!J55</f>
        <v>0</v>
      </c>
      <c r="K5" s="18">
        <f>'SEP 01'!K55</f>
        <v>62362.026596142976</v>
      </c>
      <c r="L5" s="18">
        <f>'SEP 01'!L55</f>
        <v>90692.608722891455</v>
      </c>
      <c r="M5" s="18">
        <f>'SEP 01'!M55</f>
        <v>234774.47995273632</v>
      </c>
      <c r="N5" s="18">
        <f>'SEP 01'!N55</f>
        <v>120822.5199999999</v>
      </c>
      <c r="O5" s="18">
        <f>'SEP 01'!O55</f>
        <v>485514.42259319959</v>
      </c>
      <c r="P5" s="18">
        <f>'SEP 01'!P55</f>
        <v>199831.79346686602</v>
      </c>
      <c r="Q5" s="18">
        <f>'SEP 01'!Q55</f>
        <v>803006.077185189</v>
      </c>
      <c r="R5" s="18">
        <f>'SEP 01'!R55</f>
        <v>497759.29450999975</v>
      </c>
      <c r="S5" s="18">
        <f>'SEP 01'!S55</f>
        <v>2000200.9266519279</v>
      </c>
      <c r="T5" s="18">
        <f>'SEP 01'!T55</f>
        <v>56516.94</v>
      </c>
      <c r="U5" s="18">
        <f>'SEP 01'!U55</f>
        <v>227108.23686539999</v>
      </c>
      <c r="V5" s="18">
        <f>'SEP 01'!V55</f>
        <v>38030203.239999995</v>
      </c>
      <c r="W5" s="18">
        <f>'SEP 01'!W55</f>
        <v>152820949.00164837</v>
      </c>
      <c r="X5" s="18">
        <f>'SEP 01'!X55</f>
        <v>1401713.3900000001</v>
      </c>
      <c r="Y5" s="18">
        <f>'SEP 01'!Y55</f>
        <v>5632659.1035099002</v>
      </c>
      <c r="Z5" s="18">
        <f>'SEP 01'!Z55</f>
        <v>9662.5274983807467</v>
      </c>
      <c r="AA5" s="18">
        <f>'SEP 01'!AA55</f>
        <v>38827.997124768175</v>
      </c>
      <c r="AB5" s="18">
        <f>'SEP 01'!AB55</f>
        <v>7542.7499999967404</v>
      </c>
      <c r="AC5" s="18">
        <f>'SEP 01'!AC55</f>
        <v>30309.862027486903</v>
      </c>
      <c r="AD5" s="18">
        <f>'SEP 01'!AD55</f>
        <v>5155</v>
      </c>
      <c r="AE5" s="18">
        <f>'SEP 01'!AE55</f>
        <v>20714.903549999999</v>
      </c>
      <c r="AF5" s="18">
        <f>'SEP 01'!AF55</f>
        <v>7956.8699999451637</v>
      </c>
      <c r="AG5" s="18">
        <f>'SEP 01'!AG55</f>
        <v>31973.965976479645</v>
      </c>
      <c r="AH5" s="18">
        <f>'SEP 01'!AH55</f>
        <v>282242.31999999727</v>
      </c>
      <c r="AI5" s="18">
        <f>'SEP 01'!AI55</f>
        <v>1134165.3611111888</v>
      </c>
      <c r="AJ5" s="18">
        <f>'SEP 01'!AJ55</f>
        <v>675895.70999999822</v>
      </c>
      <c r="AK5" s="18">
        <f>'SEP 01'!AK55</f>
        <v>2716026.0800210927</v>
      </c>
      <c r="AL5" s="18">
        <f>'SEP 01'!AL55</f>
        <v>26171999.376865242</v>
      </c>
      <c r="AM5" s="18">
        <f>'SEP 01'!AM55</f>
        <v>97180133.138515338</v>
      </c>
      <c r="AN5" s="18">
        <f>'SEP 01'!AN55</f>
        <v>4862032.3394600004</v>
      </c>
      <c r="AO5" s="18">
        <f>'SEP 01'!AO55</f>
        <v>919690.74515144003</v>
      </c>
      <c r="AP5" s="18">
        <f>'SEP 01'!AP55</f>
        <v>10424918.118880145</v>
      </c>
      <c r="AQ5" s="18">
        <f>'SEP 01'!AQ55</f>
        <v>1218366.3245821637</v>
      </c>
      <c r="AR5" s="18">
        <f>'SEP 01'!AR55</f>
        <v>33467.106463993005</v>
      </c>
      <c r="AS5" s="18">
        <f>'SEP 01'!AS55</f>
        <v>6.3419079996137473</v>
      </c>
      <c r="AT5" s="18">
        <f>'SEP 01'!AT55</f>
        <v>11.326432002509915</v>
      </c>
      <c r="AU5" s="18">
        <f>'SEP 01'!AU55</f>
        <v>70852.565203997277</v>
      </c>
      <c r="AV5" s="18">
        <f>'SEP 01'!AV55</f>
        <v>529097.77060280275</v>
      </c>
      <c r="AW5" s="18">
        <f>'SEP 01'!AW55</f>
        <v>87470.533549996806</v>
      </c>
      <c r="AX5" s="18">
        <f>'SEP 01'!AX55</f>
        <v>1064.5961240010877</v>
      </c>
      <c r="AY5" s="18">
        <f>'SEP 01'!AY55</f>
        <v>181309.04110000003</v>
      </c>
      <c r="AZ5" s="18">
        <f>'SEP 01'!AZ55</f>
        <v>23756.924137323233</v>
      </c>
      <c r="BA5" s="18">
        <f>'SEP 01'!BA55</f>
        <v>205899.71572400694</v>
      </c>
      <c r="BB5" s="18">
        <f>'SEP 01'!BB55</f>
        <v>71301.892219991176</v>
      </c>
      <c r="BC5" s="18">
        <f>'SEP 01'!BC55</f>
        <v>271993.28084799863</v>
      </c>
      <c r="BD5" s="18">
        <f>'SEP 01'!BD55</f>
        <v>17378.533599989849</v>
      </c>
      <c r="BE5" s="18">
        <f>'SEP 01'!BE55</f>
        <v>256626.99715368054</v>
      </c>
      <c r="BF5" s="18">
        <f>'SEP 01'!BF55</f>
        <v>294827.49323035986</v>
      </c>
      <c r="BG5" s="18">
        <f>'SEP 01'!BG55</f>
        <v>35110.408018882757</v>
      </c>
      <c r="BH5" s="18">
        <f>'SEP 01'!BH55</f>
        <v>24605.160800002101</v>
      </c>
      <c r="BI5" s="18">
        <f>'SEP 01'!BI55</f>
        <v>207727.90101</v>
      </c>
      <c r="BJ5" s="18">
        <f>'SEP 01'!BJ55</f>
        <v>154010.6032805602</v>
      </c>
      <c r="BK5" s="18">
        <f>'SEP 01'!BK55</f>
        <v>4837922.1225280128</v>
      </c>
      <c r="BL5" s="18">
        <f>'SEP 01'!BL55</f>
        <v>115012.55930244607</v>
      </c>
      <c r="BM5" s="18">
        <f>'SEP 01'!BM55</f>
        <v>1090361.7855171638</v>
      </c>
      <c r="BN5" s="18">
        <f>'SEP 01'!BN55</f>
        <v>1242313.845937382</v>
      </c>
      <c r="BO5" s="18">
        <f>'SEP 01'!BO55</f>
        <v>3.4691202304202307E-3</v>
      </c>
      <c r="BP5" s="18">
        <f>'SEP 01'!BP55</f>
        <v>260.7467193290654</v>
      </c>
      <c r="BQ5" s="18">
        <f>'SEP 01'!BQ55</f>
        <v>4.0128798844989433E-3</v>
      </c>
      <c r="BR5" s="18">
        <f>'SEP 01'!BR55</f>
        <v>358178.96600000339</v>
      </c>
      <c r="BS5" s="18">
        <f>'SEP 01'!BS55</f>
        <v>1439553.5139906891</v>
      </c>
      <c r="BT5" s="18">
        <f>'SEP 01'!BT55</f>
        <v>231922.66493201788</v>
      </c>
      <c r="BU5" s="18">
        <f>'SEP 01'!BU55</f>
        <v>932118.04822278419</v>
      </c>
      <c r="BV5" s="18">
        <f>'SEP 01'!BV55</f>
        <v>9460.5788599999996</v>
      </c>
      <c r="BW5" s="18">
        <f>'SEP 01'!BW55</f>
        <v>111247.72</v>
      </c>
      <c r="BX5" s="18">
        <f>'SEP 01'!BX55</f>
        <v>22663.665389999998</v>
      </c>
      <c r="BY5" s="18">
        <f>'SEP 01'!BY55</f>
        <v>1092298.9227500004</v>
      </c>
      <c r="BZ5" s="18">
        <f>'SEP 01'!BZ55</f>
        <v>-107716.17786001042</v>
      </c>
      <c r="CA5" s="18">
        <f>'SEP 01'!CA55</f>
        <v>4049883.5855599921</v>
      </c>
      <c r="CB5" s="18">
        <f>'SEP 01'!CB55</f>
        <v>19818.565999999999</v>
      </c>
      <c r="CC5" s="18">
        <f>'SEP 01'!CC55</f>
        <v>1067885.7919999999</v>
      </c>
      <c r="CD5" s="18">
        <f>'SEP 01'!CD55</f>
        <v>0</v>
      </c>
      <c r="CE5" s="18">
        <f>'SEP 01'!CE55</f>
        <v>23629.152999999995</v>
      </c>
      <c r="CF5" s="18">
        <f>'SEP 01'!CF55</f>
        <v>719967.15159000002</v>
      </c>
      <c r="CG5" s="18">
        <f>'SEP 01'!CG55</f>
        <v>441343.13250000001</v>
      </c>
      <c r="CH5" s="18">
        <f>'SEP 01'!CH55</f>
        <v>2.9318200000000001</v>
      </c>
      <c r="CI5" s="18">
        <f>'SEP 01'!CI55</f>
        <v>831592.30421999923</v>
      </c>
      <c r="CJ5" s="18">
        <f>'SEP 01'!CJ55</f>
        <v>528219.12153999973</v>
      </c>
      <c r="CK5" s="18">
        <f>'SEP 01'!CK55</f>
        <v>0</v>
      </c>
      <c r="CL5" s="18">
        <f>'SEP 01'!CL55</f>
        <v>0</v>
      </c>
      <c r="CM5" s="18">
        <f>'SEP 01'!CM55</f>
        <v>79545.207070000004</v>
      </c>
      <c r="CN5" s="18">
        <f>'SEP 01'!CN55</f>
        <v>647657.33605000004</v>
      </c>
      <c r="CO5" s="18">
        <f>'SEP 01'!CO55</f>
        <v>736464.8368199995</v>
      </c>
      <c r="CP5" s="18">
        <f>'SEP 01'!CP55</f>
        <v>9152723.6727600005</v>
      </c>
      <c r="CQ5" s="18">
        <f>'SEP 01'!CQ55</f>
        <v>377715.39094000001</v>
      </c>
      <c r="CR5" s="18">
        <f>'SEP 01'!CR55</f>
        <v>903266.84160000039</v>
      </c>
      <c r="CS5" s="18">
        <f>'SEP 01'!CS55</f>
        <v>5013.4199999999992</v>
      </c>
      <c r="CT5" s="18">
        <f>'SEP 01'!CT55</f>
        <v>20149.387893799994</v>
      </c>
      <c r="CU5" s="18">
        <f>'SEP 01'!CU55</f>
        <v>5013.4199999999992</v>
      </c>
      <c r="CV5" s="18">
        <f>'SEP 01'!CV55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449500678.7833972</v>
      </c>
    </row>
    <row r="6" spans="1:101" s="20" customFormat="1" x14ac:dyDescent="0.3">
      <c r="A6" s="173"/>
      <c r="B6" s="19"/>
      <c r="C6" s="19" t="s">
        <v>91</v>
      </c>
      <c r="D6" s="19">
        <v>-34988.44616</v>
      </c>
      <c r="E6" s="19">
        <v>3432014.3950599991</v>
      </c>
      <c r="F6" s="19">
        <v>1389291.3430299996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57364.66</v>
      </c>
      <c r="BU6" s="19">
        <v>230514.72339060003</v>
      </c>
      <c r="BV6" s="19">
        <v>-138.38999999999942</v>
      </c>
      <c r="BW6" s="19">
        <v>21180.05799999999</v>
      </c>
      <c r="BX6" s="19">
        <v>-3.8999999742372893E-4</v>
      </c>
      <c r="BY6" s="19">
        <v>-16703.10380999976</v>
      </c>
      <c r="BZ6" s="19">
        <v>3037066.7137400014</v>
      </c>
      <c r="CA6" s="19">
        <v>-1410633.01244</v>
      </c>
      <c r="CB6" s="19">
        <v>0</v>
      </c>
      <c r="CC6" s="19">
        <v>19111.883440000005</v>
      </c>
      <c r="CD6" s="19">
        <v>0</v>
      </c>
      <c r="CE6" s="19">
        <v>0</v>
      </c>
      <c r="CF6" s="19">
        <v>150403.97401000001</v>
      </c>
      <c r="CG6" s="19">
        <v>2555.7199999999721</v>
      </c>
      <c r="CH6" s="19">
        <v>0</v>
      </c>
      <c r="CI6" s="19">
        <v>25184.996219999972</v>
      </c>
      <c r="CJ6" s="19">
        <v>-91088.662499999977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383379.22045994515</v>
      </c>
      <c r="E8" s="18">
        <f t="shared" si="0"/>
        <v>105769372.89167225</v>
      </c>
      <c r="F8" s="18">
        <f t="shared" si="0"/>
        <v>8080834.354804378</v>
      </c>
      <c r="G8" s="18">
        <f t="shared" si="0"/>
        <v>0</v>
      </c>
      <c r="H8" s="18">
        <f t="shared" si="0"/>
        <v>0</v>
      </c>
      <c r="I8" s="18">
        <f t="shared" si="0"/>
        <v>74955.181894578345</v>
      </c>
      <c r="J8" s="18">
        <f t="shared" si="0"/>
        <v>0</v>
      </c>
      <c r="K8" s="18">
        <f t="shared" si="0"/>
        <v>62362.026596142976</v>
      </c>
      <c r="L8" s="18">
        <f t="shared" si="0"/>
        <v>90692.608722891455</v>
      </c>
      <c r="M8" s="18">
        <f t="shared" si="0"/>
        <v>234774.47995273632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199831.79346686602</v>
      </c>
      <c r="Q8" s="18">
        <f t="shared" si="0"/>
        <v>803006.077185189</v>
      </c>
      <c r="R8" s="18">
        <f t="shared" si="0"/>
        <v>497759.29450999975</v>
      </c>
      <c r="S8" s="18">
        <f t="shared" si="0"/>
        <v>2000200.9266519279</v>
      </c>
      <c r="T8" s="18">
        <f t="shared" si="0"/>
        <v>56516.94</v>
      </c>
      <c r="U8" s="18">
        <f t="shared" si="0"/>
        <v>227108.23686539999</v>
      </c>
      <c r="V8" s="18">
        <f t="shared" si="0"/>
        <v>38030203.239999995</v>
      </c>
      <c r="W8" s="18">
        <f t="shared" si="0"/>
        <v>152820949.00164837</v>
      </c>
      <c r="X8" s="18">
        <f t="shared" si="0"/>
        <v>1401713.3900000001</v>
      </c>
      <c r="Y8" s="18">
        <f t="shared" si="0"/>
        <v>5632659.1035099002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26171999.376865242</v>
      </c>
      <c r="AM8" s="18">
        <f t="shared" si="0"/>
        <v>97180133.138515338</v>
      </c>
      <c r="AN8" s="18">
        <f t="shared" si="0"/>
        <v>4862032.3394600004</v>
      </c>
      <c r="AO8" s="18">
        <f t="shared" si="0"/>
        <v>919690.74515144003</v>
      </c>
      <c r="AP8" s="18">
        <f t="shared" si="0"/>
        <v>10424918.118880145</v>
      </c>
      <c r="AQ8" s="18">
        <f t="shared" si="0"/>
        <v>1218366.3245821637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181309.04110000003</v>
      </c>
      <c r="AZ8" s="18">
        <f t="shared" si="0"/>
        <v>23756.924137323233</v>
      </c>
      <c r="BA8" s="18">
        <f t="shared" si="0"/>
        <v>205899.71572400694</v>
      </c>
      <c r="BB8" s="18">
        <f t="shared" si="0"/>
        <v>71301.892219991176</v>
      </c>
      <c r="BC8" s="18">
        <f t="shared" si="0"/>
        <v>271993.28084799863</v>
      </c>
      <c r="BD8" s="18">
        <f t="shared" si="0"/>
        <v>17378.533599989849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4837922.1225280128</v>
      </c>
      <c r="BL8" s="18">
        <f t="shared" si="0"/>
        <v>115012.55930244607</v>
      </c>
      <c r="BM8" s="18">
        <f t="shared" si="0"/>
        <v>1090361.7855171638</v>
      </c>
      <c r="BN8" s="18">
        <f t="shared" si="0"/>
        <v>1242313.845937382</v>
      </c>
      <c r="BO8" s="18">
        <f t="shared" si="0"/>
        <v>3.4691202304202307E-3</v>
      </c>
      <c r="BP8" s="18">
        <f t="shared" si="0"/>
        <v>260.7467193290654</v>
      </c>
      <c r="BQ8" s="18">
        <f t="shared" si="0"/>
        <v>4.0128798844989433E-3</v>
      </c>
      <c r="BR8" s="18">
        <f t="shared" si="0"/>
        <v>358178.96600000339</v>
      </c>
      <c r="BS8" s="18">
        <f t="shared" si="0"/>
        <v>1439553.5139906891</v>
      </c>
      <c r="BT8" s="18">
        <f t="shared" ref="BT8:CV8" si="1">BT5+BT6+BT7</f>
        <v>289287.32493201789</v>
      </c>
      <c r="BU8" s="18">
        <f t="shared" si="1"/>
        <v>1162632.7716133841</v>
      </c>
      <c r="BV8" s="18">
        <f t="shared" si="1"/>
        <v>9322.1888600000002</v>
      </c>
      <c r="BW8" s="18">
        <f t="shared" si="1"/>
        <v>132427.77799999999</v>
      </c>
      <c r="BX8" s="18">
        <f t="shared" si="1"/>
        <v>22663.665000000001</v>
      </c>
      <c r="BY8" s="18">
        <f>+BY5+BY6+BY7:BZ7</f>
        <v>1075595.8189400006</v>
      </c>
      <c r="BZ8" s="18">
        <f t="shared" si="1"/>
        <v>2929350.535879991</v>
      </c>
      <c r="CA8" s="18">
        <f t="shared" si="1"/>
        <v>2639250.5731199924</v>
      </c>
      <c r="CB8" s="18">
        <f t="shared" si="1"/>
        <v>19818.565999999999</v>
      </c>
      <c r="CC8" s="18">
        <f t="shared" si="1"/>
        <v>1086997.6754399999</v>
      </c>
      <c r="CD8" s="18">
        <f t="shared" si="1"/>
        <v>0</v>
      </c>
      <c r="CE8" s="18">
        <f t="shared" si="1"/>
        <v>23629.152999999995</v>
      </c>
      <c r="CF8" s="18">
        <f t="shared" si="1"/>
        <v>870371.12560000003</v>
      </c>
      <c r="CG8" s="18">
        <f t="shared" si="1"/>
        <v>443898.85249999998</v>
      </c>
      <c r="CH8" s="18">
        <f t="shared" si="1"/>
        <v>2.9318200000000001</v>
      </c>
      <c r="CI8" s="18">
        <f t="shared" si="1"/>
        <v>856777.30043999921</v>
      </c>
      <c r="CJ8" s="18">
        <f t="shared" si="1"/>
        <v>437130.45903999975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903266.84160000039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456254450.97498775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16059+382605+832068</f>
        <v>1230732</v>
      </c>
      <c r="M11" s="26">
        <v>118465</v>
      </c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1349197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>
        <v>-74030460</v>
      </c>
      <c r="M20" s="29">
        <v>-58332630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-132363090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-58154268.663999997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-58154268.663999997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>
        <f>9751472.23+3427302.08</f>
        <v>13178774.310000001</v>
      </c>
      <c r="Q22" s="26">
        <f>(P22*4018.41)/1000</f>
        <v>52957718.475047104</v>
      </c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52957718.475047104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35420605.425999999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35420605.425999999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>
        <v>8145584.4859999996</v>
      </c>
      <c r="M24" s="29">
        <v>58695956.292999998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66841540.778999999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53000</v>
      </c>
      <c r="E27" s="29"/>
      <c r="F27" s="29">
        <f>2875000+20000000</f>
        <v>22875000</v>
      </c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>
        <v>1000000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23928000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-7531000</v>
      </c>
      <c r="F28" s="26"/>
      <c r="G28" s="26"/>
      <c r="H28" s="26"/>
      <c r="I28" s="26"/>
      <c r="J28" s="26"/>
      <c r="K28" s="26"/>
      <c r="L28" s="27"/>
      <c r="M28" s="26">
        <v>-500000</v>
      </c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-8031000</v>
      </c>
    </row>
    <row r="29" spans="1:101" x14ac:dyDescent="0.3">
      <c r="A29" s="166"/>
      <c r="B29" s="24"/>
      <c r="C29" s="25" t="s">
        <v>116</v>
      </c>
      <c r="D29" s="26"/>
      <c r="E29" s="29">
        <f>-87000000+87000000-87000000</f>
        <v>-87000000</v>
      </c>
      <c r="F29" s="29"/>
      <c r="G29" s="26"/>
      <c r="H29" s="26"/>
      <c r="I29" s="29"/>
      <c r="J29" s="26"/>
      <c r="K29" s="26"/>
      <c r="L29" s="29">
        <v>87000000</v>
      </c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9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>
        <v>564529.35499999998</v>
      </c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564529.35499999998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>
        <v>2125024</v>
      </c>
      <c r="Q35" s="38">
        <f>(P35*4018.41)/1000</f>
        <v>8539217.6918400005</v>
      </c>
      <c r="R35" s="38"/>
      <c r="S35" s="38"/>
      <c r="T35" s="38"/>
      <c r="U35" s="38"/>
      <c r="V35" s="38">
        <v>990000</v>
      </c>
      <c r="W35" s="38">
        <f>(V35*4018.41)/1000</f>
        <v>3978225.9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12517443.591840001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/>
      <c r="M38" s="39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0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>
        <v>-26084500</v>
      </c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>
        <v>6500000</v>
      </c>
      <c r="BU42" s="44">
        <v>26084500</v>
      </c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-0.97099999999999997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-2.5430000000000001</v>
      </c>
      <c r="BB50" s="49">
        <v>-0.88</v>
      </c>
      <c r="BC50" s="49">
        <v>-3.359</v>
      </c>
      <c r="BD50" s="49">
        <v>-0.215</v>
      </c>
      <c r="BE50" s="49"/>
      <c r="BF50" s="49"/>
      <c r="BG50" s="49"/>
      <c r="BH50" s="49"/>
      <c r="BI50" s="49"/>
      <c r="BJ50" s="49"/>
      <c r="BK50" s="49"/>
      <c r="BL50" s="49">
        <v>-1.4890000000000001</v>
      </c>
      <c r="BM50" s="49">
        <v>-14.118</v>
      </c>
      <c r="BN50" s="49">
        <v>-16.085000000000001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-39.660000000000004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-735.55</v>
      </c>
      <c r="F51" s="49">
        <v>-53.063000000000002</v>
      </c>
      <c r="G51" s="49"/>
      <c r="H51" s="49"/>
      <c r="I51" s="49"/>
      <c r="J51" s="49"/>
      <c r="K51" s="48">
        <f>-927.962+0.01</f>
        <v>-927.952</v>
      </c>
      <c r="L51" s="48">
        <f>-2168.775-41.293-927.962+0.01</f>
        <v>-3138.02</v>
      </c>
      <c r="M51" s="48">
        <f>-16.517-927.962-0.01</f>
        <v>-944.48900000000003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-5799.0740000000005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f>13.86432-0.01</f>
        <v>13.85432</v>
      </c>
      <c r="J52" s="49"/>
      <c r="K52" s="49"/>
      <c r="L52" s="48"/>
      <c r="M52" s="48"/>
      <c r="N52" s="49"/>
      <c r="O52" s="49"/>
      <c r="P52" s="49"/>
      <c r="Q52" s="49"/>
      <c r="R52" s="49">
        <v>151.52000000000001</v>
      </c>
      <c r="S52" s="49">
        <f>(R52*4018.41)/1000</f>
        <v>608.86948319999999</v>
      </c>
      <c r="T52" s="49">
        <v>158.41</v>
      </c>
      <c r="U52" s="49">
        <f>(T52*4018.41)/1000</f>
        <v>636.55632809999997</v>
      </c>
      <c r="V52" s="49">
        <v>116258.22</v>
      </c>
      <c r="W52" s="49">
        <f>(V52*4018.41)/1000</f>
        <v>467173.19383020001</v>
      </c>
      <c r="X52" s="49">
        <v>3928.91</v>
      </c>
      <c r="Y52" s="49">
        <f>(X52*4018.41)/1000</f>
        <v>15787.971233099999</v>
      </c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f>36.322+0.01</f>
        <v>36.332000000000001</v>
      </c>
      <c r="BB52" s="49">
        <v>12.577999999999999</v>
      </c>
      <c r="BC52" s="49">
        <v>47.981000000000002</v>
      </c>
      <c r="BD52" s="49">
        <v>3.0659999999999998</v>
      </c>
      <c r="BE52" s="49"/>
      <c r="BF52" s="49"/>
      <c r="BG52" s="49"/>
      <c r="BH52" s="49"/>
      <c r="BI52" s="49"/>
      <c r="BJ52" s="49"/>
      <c r="BK52" s="49"/>
      <c r="BL52" s="49">
        <v>21.27366</v>
      </c>
      <c r="BM52" s="49">
        <f>201.68223+0.01</f>
        <v>201.69223</v>
      </c>
      <c r="BN52" s="49">
        <v>229.78853000000001</v>
      </c>
      <c r="BO52" s="49"/>
      <c r="BP52" s="49">
        <f>48.23/1000+0.01</f>
        <v>5.8229999999999997E-2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484773.21484460001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-2.9421999999999997</v>
      </c>
      <c r="F53" s="49">
        <f>(F10+F13+F16+F17+F33+F38+F47+F35+F40)*4/1000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-3.711808</v>
      </c>
      <c r="L53" s="48">
        <f>(L10+L13+L17+L33+L38+L40+L51+L36+L49+L16)*4/1000</f>
        <v>-12.55208</v>
      </c>
      <c r="M53" s="48">
        <f>(M10+M13+M17+M33+M38+M40+M51+M36+M49+M16)*4/1000</f>
        <v>-3.7779560000000001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 t="shared" si="5"/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-22.984044000000001</v>
      </c>
    </row>
    <row r="54" spans="1:101" x14ac:dyDescent="0.3">
      <c r="C54" s="50" t="s">
        <v>141</v>
      </c>
      <c r="D54" s="51">
        <f t="shared" ref="D54:AM54" si="6">SUM(D9:D53)</f>
        <v>53000</v>
      </c>
      <c r="E54" s="51">
        <f t="shared" si="6"/>
        <v>-94531738.492200002</v>
      </c>
      <c r="F54" s="51">
        <f>SUM(F9:F53)</f>
        <v>-3209553.0630000001</v>
      </c>
      <c r="G54" s="51">
        <f t="shared" si="6"/>
        <v>0</v>
      </c>
      <c r="H54" s="51">
        <f t="shared" si="6"/>
        <v>0</v>
      </c>
      <c r="I54" s="51">
        <f t="shared" si="6"/>
        <v>12.883319999999999</v>
      </c>
      <c r="J54" s="51">
        <f t="shared" si="6"/>
        <v>0</v>
      </c>
      <c r="K54" s="51">
        <f t="shared" si="6"/>
        <v>-931.66380800000002</v>
      </c>
      <c r="L54" s="52">
        <f>SUM(L9:L53)</f>
        <v>173572.03091999594</v>
      </c>
      <c r="M54" s="51">
        <f t="shared" si="6"/>
        <v>-19156.973956002268</v>
      </c>
      <c r="N54" s="51">
        <f t="shared" si="6"/>
        <v>0</v>
      </c>
      <c r="O54" s="51">
        <f t="shared" si="6"/>
        <v>0</v>
      </c>
      <c r="P54" s="51">
        <f t="shared" si="6"/>
        <v>15303798.310000001</v>
      </c>
      <c r="Q54" s="51">
        <f t="shared" si="6"/>
        <v>61496936.166887105</v>
      </c>
      <c r="R54" s="51">
        <f t="shared" si="6"/>
        <v>151.52000000000001</v>
      </c>
      <c r="S54" s="51">
        <f t="shared" si="6"/>
        <v>608.86948319999999</v>
      </c>
      <c r="T54" s="51">
        <f t="shared" si="6"/>
        <v>158.41</v>
      </c>
      <c r="U54" s="51">
        <f t="shared" si="6"/>
        <v>636.55632809999997</v>
      </c>
      <c r="V54" s="51">
        <f t="shared" si="6"/>
        <v>1106258.22</v>
      </c>
      <c r="W54" s="51">
        <f t="shared" si="6"/>
        <v>4445399.0938301999</v>
      </c>
      <c r="X54" s="51">
        <f t="shared" si="6"/>
        <v>3928.91</v>
      </c>
      <c r="Y54" s="51">
        <f t="shared" si="6"/>
        <v>15787.971233099999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33.789000000000001</v>
      </c>
      <c r="BB54" s="51">
        <f t="shared" si="7"/>
        <v>11.697999999999999</v>
      </c>
      <c r="BC54" s="51">
        <f t="shared" si="7"/>
        <v>44.622</v>
      </c>
      <c r="BD54" s="51">
        <f t="shared" si="7"/>
        <v>2.851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19.784659999999999</v>
      </c>
      <c r="BM54" s="51">
        <f t="shared" si="7"/>
        <v>187.57423</v>
      </c>
      <c r="BN54" s="51">
        <f t="shared" si="7"/>
        <v>213.70353</v>
      </c>
      <c r="BO54" s="51">
        <f t="shared" si="7"/>
        <v>0</v>
      </c>
      <c r="BP54" s="51">
        <f t="shared" si="7"/>
        <v>5.8229999999999997E-2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6500000</v>
      </c>
      <c r="BU54" s="51">
        <f t="shared" si="7"/>
        <v>26084500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0</v>
      </c>
      <c r="CA54" s="51">
        <f t="shared" si="7"/>
        <v>1000000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-4490412.5403122911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436379.22045994515</v>
      </c>
      <c r="E55" s="56">
        <f t="shared" si="8"/>
        <v>11237634.399472252</v>
      </c>
      <c r="F55" s="56">
        <f>+F8+F54</f>
        <v>4871281.2918043779</v>
      </c>
      <c r="G55" s="56">
        <f t="shared" si="8"/>
        <v>0</v>
      </c>
      <c r="H55" s="56">
        <f t="shared" si="8"/>
        <v>0</v>
      </c>
      <c r="I55" s="56">
        <f t="shared" si="8"/>
        <v>74968.065214578339</v>
      </c>
      <c r="J55" s="56">
        <f t="shared" si="8"/>
        <v>0</v>
      </c>
      <c r="K55" s="56">
        <f t="shared" si="8"/>
        <v>61430.362788142978</v>
      </c>
      <c r="L55" s="56">
        <f t="shared" si="8"/>
        <v>264264.6396428874</v>
      </c>
      <c r="M55" s="56">
        <f t="shared" si="8"/>
        <v>215617.50599673405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15503630.103466867</v>
      </c>
      <c r="Q55" s="56">
        <f t="shared" si="8"/>
        <v>62299942.244072296</v>
      </c>
      <c r="R55" s="56">
        <f t="shared" si="8"/>
        <v>497910.81450999976</v>
      </c>
      <c r="S55" s="56">
        <f t="shared" si="8"/>
        <v>2000809.7961351278</v>
      </c>
      <c r="T55" s="56">
        <f t="shared" si="8"/>
        <v>56675.350000000006</v>
      </c>
      <c r="U55" s="56">
        <f t="shared" si="8"/>
        <v>227744.79319349999</v>
      </c>
      <c r="V55" s="56">
        <f t="shared" si="8"/>
        <v>39136461.459999993</v>
      </c>
      <c r="W55" s="56">
        <f t="shared" si="8"/>
        <v>157266348.09547856</v>
      </c>
      <c r="X55" s="56">
        <f t="shared" si="8"/>
        <v>1405642.3</v>
      </c>
      <c r="Y55" s="56">
        <f t="shared" si="8"/>
        <v>5648447.0747429999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282242.31999999727</v>
      </c>
      <c r="AI55" s="56">
        <f t="shared" si="8"/>
        <v>1134165.3611111888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26171999.376865242</v>
      </c>
      <c r="AM55" s="56">
        <f t="shared" si="8"/>
        <v>97180133.138515338</v>
      </c>
      <c r="AN55" s="56">
        <f t="shared" si="8"/>
        <v>4862032.3394600004</v>
      </c>
      <c r="AO55" s="56">
        <f t="shared" si="8"/>
        <v>919690.74515144003</v>
      </c>
      <c r="AP55" s="56">
        <f t="shared" si="8"/>
        <v>10424918.118880145</v>
      </c>
      <c r="AQ55" s="56">
        <f t="shared" si="8"/>
        <v>1218366.3245821637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181309.04110000003</v>
      </c>
      <c r="AZ55" s="56">
        <f t="shared" si="8"/>
        <v>23756.924137323233</v>
      </c>
      <c r="BA55" s="56">
        <f t="shared" si="8"/>
        <v>205933.50472400693</v>
      </c>
      <c r="BB55" s="56">
        <f t="shared" si="8"/>
        <v>71313.59021999118</v>
      </c>
      <c r="BC55" s="56">
        <f t="shared" si="8"/>
        <v>272037.9028479986</v>
      </c>
      <c r="BD55" s="56">
        <f t="shared" si="8"/>
        <v>17381.384599989848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4837922.1225280128</v>
      </c>
      <c r="BL55" s="56">
        <f t="shared" si="8"/>
        <v>115032.34396244607</v>
      </c>
      <c r="BM55" s="56">
        <f t="shared" si="8"/>
        <v>1090549.3597471637</v>
      </c>
      <c r="BN55" s="56">
        <f t="shared" si="8"/>
        <v>1242527.549467382</v>
      </c>
      <c r="BO55" s="56">
        <f t="shared" si="8"/>
        <v>3.4691202304202307E-3</v>
      </c>
      <c r="BP55" s="56">
        <f t="shared" si="8"/>
        <v>260.80494932906538</v>
      </c>
      <c r="BQ55" s="56">
        <f t="shared" si="8"/>
        <v>4.0128798844989433E-3</v>
      </c>
      <c r="BR55" s="56">
        <f t="shared" si="8"/>
        <v>358178.96600000339</v>
      </c>
      <c r="BS55" s="56">
        <f t="shared" si="8"/>
        <v>1439553.5139906891</v>
      </c>
      <c r="BT55" s="56">
        <f t="shared" ref="BT55:CV55" si="9">+BT8+BT54</f>
        <v>6789287.3249320183</v>
      </c>
      <c r="BU55" s="56">
        <f t="shared" si="9"/>
        <v>27247132.771613386</v>
      </c>
      <c r="BV55" s="56">
        <f t="shared" si="9"/>
        <v>9322.1888600000002</v>
      </c>
      <c r="BW55" s="56">
        <f t="shared" si="9"/>
        <v>132427.77799999999</v>
      </c>
      <c r="BX55" s="56">
        <f t="shared" si="9"/>
        <v>22663.665000000001</v>
      </c>
      <c r="BY55" s="56">
        <f t="shared" si="9"/>
        <v>1075595.8189400006</v>
      </c>
      <c r="BZ55" s="56">
        <f t="shared" si="9"/>
        <v>2929350.535879991</v>
      </c>
      <c r="CA55" s="56">
        <f t="shared" si="9"/>
        <v>3639250.5731199924</v>
      </c>
      <c r="CB55" s="56">
        <f t="shared" si="9"/>
        <v>19818.565999999999</v>
      </c>
      <c r="CC55" s="56">
        <f t="shared" si="9"/>
        <v>1086997.6754399999</v>
      </c>
      <c r="CD55" s="56">
        <f t="shared" si="9"/>
        <v>0</v>
      </c>
      <c r="CE55" s="56">
        <f t="shared" si="9"/>
        <v>23629.152999999995</v>
      </c>
      <c r="CF55" s="56">
        <f t="shared" si="9"/>
        <v>870371.12560000003</v>
      </c>
      <c r="CG55" s="56">
        <f t="shared" si="9"/>
        <v>443898.85249999998</v>
      </c>
      <c r="CH55" s="56">
        <f t="shared" si="9"/>
        <v>2.9318200000000001</v>
      </c>
      <c r="CI55" s="56">
        <f t="shared" si="9"/>
        <v>856777.30043999921</v>
      </c>
      <c r="CJ55" s="56">
        <f t="shared" si="9"/>
        <v>437130.45903999975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903266.84160000039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451764038.43467546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66"/>
      <c r="L57" s="67"/>
      <c r="N57" s="57"/>
      <c r="O57" s="57"/>
      <c r="P57" s="68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73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73"/>
      <c r="Q59" s="73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181061591.03504708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73"/>
      <c r="Q60" s="73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35420605.425999999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1349197</v>
      </c>
      <c r="E62" s="67" t="s">
        <v>205</v>
      </c>
      <c r="F62" s="89" t="s">
        <v>153</v>
      </c>
      <c r="G62" s="91">
        <f>P55</f>
        <v>15503630.103466867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23928000</v>
      </c>
      <c r="E63" s="67" t="s">
        <v>205</v>
      </c>
      <c r="F63" s="89" t="s">
        <v>155</v>
      </c>
      <c r="G63" s="91">
        <f>R55</f>
        <v>497910.81450999976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66841540.778999999</v>
      </c>
      <c r="E64" s="67" t="s">
        <v>205</v>
      </c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52957718.475047104</v>
      </c>
      <c r="E65" s="67"/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564529.35499999998</v>
      </c>
      <c r="E66" s="101" t="s">
        <v>205</v>
      </c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56675.350000000006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39136461.459999993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1405642.3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61430362.788142979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-198548358.664</v>
      </c>
      <c r="E73" s="71"/>
      <c r="F73" s="114" t="s">
        <v>163</v>
      </c>
      <c r="G73" s="115">
        <f>L55*1000</f>
        <v>264264639.64288741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215617505.99673405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-132363090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-58154268.663999997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-8031000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0</v>
      </c>
      <c r="E81" s="101"/>
      <c r="F81" s="128" t="s">
        <v>172</v>
      </c>
      <c r="G81" s="126">
        <f>AH55</f>
        <v>282242.31999999727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205899.71572400694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36.332000000000001</v>
      </c>
      <c r="L92" s="143">
        <f>BA50+BA51+BA53+BA40+BA42+BA43+BA45</f>
        <v>-2.5430000000000001</v>
      </c>
      <c r="M92" s="144">
        <f t="shared" si="10"/>
        <v>205933.50472400693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271993.28084799863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47.981000000000002</v>
      </c>
      <c r="L98" s="143">
        <f>BC50+BC51+BC53+BC40+BC42+BC43+BC45</f>
        <v>-3.359</v>
      </c>
      <c r="M98" s="144">
        <f t="shared" si="10"/>
        <v>272037.90284799866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71301.892219991176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12.577999999999999</v>
      </c>
      <c r="L99" s="143">
        <f>BB50+BB51+BB53+BB40+BB42+BB43+BB45</f>
        <v>-0.88</v>
      </c>
      <c r="M99" s="144">
        <f t="shared" si="10"/>
        <v>71313.590219991165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17378.533599989849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3.0659999999999998</v>
      </c>
      <c r="L104" s="143">
        <f>BD50+BD51+BD53+BD40+BD42+BD43+BD45</f>
        <v>-0.215</v>
      </c>
      <c r="M104" s="144">
        <f t="shared" si="10"/>
        <v>17381.384599989848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181309.04110000003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181309.04110000003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608069.51369167934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36.332000000000001</v>
      </c>
      <c r="L108" s="98">
        <f t="shared" si="11"/>
        <v>-2.5430000000000001</v>
      </c>
      <c r="M108" s="98">
        <f t="shared" si="11"/>
        <v>608103.30269167933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846932.83177235292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60.558999999999997</v>
      </c>
      <c r="L109" s="98">
        <f t="shared" si="12"/>
        <v>-4.2389999999999999</v>
      </c>
      <c r="M109" s="98">
        <f t="shared" si="12"/>
        <v>846989.15177235287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458661.15120343008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3.0659999999999998</v>
      </c>
      <c r="L110" s="98">
        <f t="shared" si="13"/>
        <v>-0.215</v>
      </c>
      <c r="M110" s="98">
        <f t="shared" si="13"/>
        <v>458664.00220343011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02'!D55</f>
        <v>436379.22045994515</v>
      </c>
      <c r="E5" s="18">
        <f>'SEP 02'!E55</f>
        <v>11237634.399472252</v>
      </c>
      <c r="F5" s="18">
        <f>'SEP 02'!F55</f>
        <v>4871281.2918043779</v>
      </c>
      <c r="G5" s="18">
        <f>'SEP 02'!G55</f>
        <v>0</v>
      </c>
      <c r="H5" s="18">
        <f>'SEP 02'!H55</f>
        <v>0</v>
      </c>
      <c r="I5" s="18">
        <f>'SEP 02'!I55</f>
        <v>74968.065214578339</v>
      </c>
      <c r="J5" s="18">
        <f>'SEP 02'!J55</f>
        <v>0</v>
      </c>
      <c r="K5" s="18">
        <f>'SEP 02'!K55</f>
        <v>61430.362788142978</v>
      </c>
      <c r="L5" s="18">
        <f>'SEP 02'!L55</f>
        <v>264264.6396428874</v>
      </c>
      <c r="M5" s="18">
        <f>'SEP 02'!M55</f>
        <v>215617.50599673405</v>
      </c>
      <c r="N5" s="18">
        <f>'SEP 02'!N55</f>
        <v>120822.5199999999</v>
      </c>
      <c r="O5" s="18">
        <f>'SEP 02'!O55</f>
        <v>485514.42259319959</v>
      </c>
      <c r="P5" s="18">
        <f>'SEP 02'!P55</f>
        <v>15503630.103466867</v>
      </c>
      <c r="Q5" s="18">
        <f>'SEP 02'!Q55</f>
        <v>62299942.244072296</v>
      </c>
      <c r="R5" s="18">
        <f>'SEP 02'!R55</f>
        <v>497910.81450999976</v>
      </c>
      <c r="S5" s="18">
        <f>'SEP 02'!S55</f>
        <v>2000809.7961351278</v>
      </c>
      <c r="T5" s="18">
        <f>'SEP 02'!T55</f>
        <v>56675.350000000006</v>
      </c>
      <c r="U5" s="18">
        <f>'SEP 02'!U55</f>
        <v>227744.79319349999</v>
      </c>
      <c r="V5" s="18">
        <f>'SEP 02'!V55</f>
        <v>39136461.459999993</v>
      </c>
      <c r="W5" s="18">
        <f>'SEP 02'!W55</f>
        <v>157266348.09547856</v>
      </c>
      <c r="X5" s="18">
        <f>'SEP 02'!X55</f>
        <v>1405642.3</v>
      </c>
      <c r="Y5" s="18">
        <f>'SEP 02'!Y55</f>
        <v>5648447.0747429999</v>
      </c>
      <c r="Z5" s="18">
        <f>'SEP 02'!Z55</f>
        <v>9662.5274983807467</v>
      </c>
      <c r="AA5" s="18">
        <f>'SEP 02'!AA55</f>
        <v>38827.997124768175</v>
      </c>
      <c r="AB5" s="18">
        <f>'SEP 02'!AB55</f>
        <v>7542.7499999967404</v>
      </c>
      <c r="AC5" s="18">
        <f>'SEP 02'!AC55</f>
        <v>30309.862027486903</v>
      </c>
      <c r="AD5" s="18">
        <f>'SEP 02'!AD55</f>
        <v>5155</v>
      </c>
      <c r="AE5" s="18">
        <f>'SEP 02'!AE55</f>
        <v>20714.903549999999</v>
      </c>
      <c r="AF5" s="18">
        <f>'SEP 02'!AF55</f>
        <v>7956.8699999451637</v>
      </c>
      <c r="AG5" s="18">
        <f>'SEP 02'!AG55</f>
        <v>31973.965976479645</v>
      </c>
      <c r="AH5" s="18">
        <f>'SEP 02'!AH55</f>
        <v>282242.31999999727</v>
      </c>
      <c r="AI5" s="18">
        <f>'SEP 02'!AI55</f>
        <v>1134165.3611111888</v>
      </c>
      <c r="AJ5" s="18">
        <f>'SEP 02'!AJ55</f>
        <v>675895.70999999822</v>
      </c>
      <c r="AK5" s="18">
        <f>'SEP 02'!AK55</f>
        <v>2716026.0800210927</v>
      </c>
      <c r="AL5" s="18">
        <f>'SEP 02'!AL55</f>
        <v>26171999.376865242</v>
      </c>
      <c r="AM5" s="18">
        <f>'SEP 02'!AM55</f>
        <v>97180133.138515338</v>
      </c>
      <c r="AN5" s="18">
        <f>'SEP 02'!AN55</f>
        <v>4862032.3394600004</v>
      </c>
      <c r="AO5" s="18">
        <f>'SEP 02'!AO55</f>
        <v>919690.74515144003</v>
      </c>
      <c r="AP5" s="18">
        <f>'SEP 02'!AP55</f>
        <v>10424918.118880145</v>
      </c>
      <c r="AQ5" s="18">
        <f>'SEP 02'!AQ55</f>
        <v>1218366.3245821637</v>
      </c>
      <c r="AR5" s="18">
        <f>'SEP 02'!AR55</f>
        <v>33467.106463993005</v>
      </c>
      <c r="AS5" s="18">
        <f>'SEP 02'!AS55</f>
        <v>6.3419079996137473</v>
      </c>
      <c r="AT5" s="18">
        <f>'SEP 02'!AT55</f>
        <v>11.326432002509915</v>
      </c>
      <c r="AU5" s="18">
        <f>'SEP 02'!AU55</f>
        <v>70852.565203997277</v>
      </c>
      <c r="AV5" s="18">
        <f>'SEP 02'!AV55</f>
        <v>529097.77060280275</v>
      </c>
      <c r="AW5" s="18">
        <f>'SEP 02'!AW55</f>
        <v>87470.533549996806</v>
      </c>
      <c r="AX5" s="18">
        <f>'SEP 02'!AX55</f>
        <v>1064.5961240010877</v>
      </c>
      <c r="AY5" s="18">
        <f>'SEP 02'!AY55</f>
        <v>181309.04110000003</v>
      </c>
      <c r="AZ5" s="18">
        <f>'SEP 02'!AZ55</f>
        <v>23756.924137323233</v>
      </c>
      <c r="BA5" s="18">
        <f>'SEP 02'!BA55</f>
        <v>205933.50472400693</v>
      </c>
      <c r="BB5" s="18">
        <f>'SEP 02'!BB55</f>
        <v>71313.59021999118</v>
      </c>
      <c r="BC5" s="18">
        <f>'SEP 02'!BC55</f>
        <v>272037.9028479986</v>
      </c>
      <c r="BD5" s="18">
        <f>'SEP 02'!BD55</f>
        <v>17381.384599989848</v>
      </c>
      <c r="BE5" s="18">
        <f>'SEP 02'!BE55</f>
        <v>256626.99715368054</v>
      </c>
      <c r="BF5" s="18">
        <f>'SEP 02'!BF55</f>
        <v>294827.49323035986</v>
      </c>
      <c r="BG5" s="18">
        <f>'SEP 02'!BG55</f>
        <v>35110.408018882757</v>
      </c>
      <c r="BH5" s="18">
        <f>'SEP 02'!BH55</f>
        <v>24605.160800002101</v>
      </c>
      <c r="BI5" s="18">
        <f>'SEP 02'!BI55</f>
        <v>207727.90101</v>
      </c>
      <c r="BJ5" s="18">
        <f>'SEP 02'!BJ55</f>
        <v>154010.6032805602</v>
      </c>
      <c r="BK5" s="18">
        <f>'SEP 02'!BK55</f>
        <v>4837922.1225280128</v>
      </c>
      <c r="BL5" s="18">
        <f>'SEP 02'!BL55</f>
        <v>115032.34396244607</v>
      </c>
      <c r="BM5" s="18">
        <f>'SEP 02'!BM55</f>
        <v>1090549.3597471637</v>
      </c>
      <c r="BN5" s="18">
        <f>'SEP 02'!BN55</f>
        <v>1242527.549467382</v>
      </c>
      <c r="BO5" s="18">
        <f>'SEP 02'!BO55</f>
        <v>3.4691202304202307E-3</v>
      </c>
      <c r="BP5" s="18">
        <f>'SEP 02'!BP55</f>
        <v>260.80494932906538</v>
      </c>
      <c r="BQ5" s="18">
        <f>'SEP 02'!BQ55</f>
        <v>4.0128798844989433E-3</v>
      </c>
      <c r="BR5" s="18">
        <f>'SEP 02'!BR55</f>
        <v>358178.96600000339</v>
      </c>
      <c r="BS5" s="18">
        <f>'SEP 02'!BS55</f>
        <v>1439553.5139906891</v>
      </c>
      <c r="BT5" s="18">
        <f>'SEP 02'!BT55</f>
        <v>6789287.3249320183</v>
      </c>
      <c r="BU5" s="18">
        <f>'SEP 02'!BU55</f>
        <v>27247132.771613386</v>
      </c>
      <c r="BV5" s="18">
        <f>'SEP 02'!BV55</f>
        <v>9322.1888600000002</v>
      </c>
      <c r="BW5" s="18">
        <f>'SEP 02'!BW55</f>
        <v>132427.77799999999</v>
      </c>
      <c r="BX5" s="18">
        <f>'SEP 02'!BX55</f>
        <v>22663.665000000001</v>
      </c>
      <c r="BY5" s="18">
        <f>'SEP 02'!BY55</f>
        <v>1075595.8189400006</v>
      </c>
      <c r="BZ5" s="18">
        <f>'SEP 02'!BZ55</f>
        <v>2929350.535879991</v>
      </c>
      <c r="CA5" s="18">
        <f>'SEP 02'!CA55</f>
        <v>3639250.5731199924</v>
      </c>
      <c r="CB5" s="18">
        <f>'SEP 02'!CB55</f>
        <v>19818.565999999999</v>
      </c>
      <c r="CC5" s="18">
        <f>'SEP 02'!CC55</f>
        <v>1086997.6754399999</v>
      </c>
      <c r="CD5" s="18">
        <f>'SEP 02'!CD55</f>
        <v>0</v>
      </c>
      <c r="CE5" s="18">
        <f>'SEP 02'!CE55</f>
        <v>23629.152999999995</v>
      </c>
      <c r="CF5" s="18">
        <f>'SEP 02'!CF55</f>
        <v>870371.12560000003</v>
      </c>
      <c r="CG5" s="18">
        <f>'SEP 02'!CG55</f>
        <v>443898.85249999998</v>
      </c>
      <c r="CH5" s="18">
        <f>'SEP 02'!CH55</f>
        <v>2.9318200000000001</v>
      </c>
      <c r="CI5" s="18">
        <f>'SEP 02'!CI55</f>
        <v>856777.30043999921</v>
      </c>
      <c r="CJ5" s="18">
        <f>'SEP 02'!CJ55</f>
        <v>437130.45903999975</v>
      </c>
      <c r="CK5" s="18">
        <f>'SEP 02'!CK55</f>
        <v>0</v>
      </c>
      <c r="CL5" s="18">
        <f>'SEP 02'!CL55</f>
        <v>0</v>
      </c>
      <c r="CM5" s="18">
        <f>'SEP 02'!CM55</f>
        <v>79545.207070000004</v>
      </c>
      <c r="CN5" s="18">
        <f>'SEP 02'!CN55</f>
        <v>647657.33605000004</v>
      </c>
      <c r="CO5" s="18">
        <f>'SEP 02'!CO55</f>
        <v>736464.8368199995</v>
      </c>
      <c r="CP5" s="18">
        <f>'SEP 02'!CP55</f>
        <v>9152723.6727600005</v>
      </c>
      <c r="CQ5" s="18">
        <f>'SEP 02'!CQ55</f>
        <v>377715.39094000001</v>
      </c>
      <c r="CR5" s="18">
        <f>'SEP 02'!CR55</f>
        <v>903266.84160000039</v>
      </c>
      <c r="CS5" s="18">
        <f>'SEP 02'!CS55</f>
        <v>5013.4199999999992</v>
      </c>
      <c r="CT5" s="18">
        <f>'SEP 02'!CT55</f>
        <v>20149.387893799994</v>
      </c>
      <c r="CU5" s="18">
        <f>'SEP 02'!CU55</f>
        <v>5013.4199999999992</v>
      </c>
      <c r="CV5" s="18">
        <f>'SEP 02'!CV55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451764038.43467546</v>
      </c>
    </row>
    <row r="6" spans="1:101" s="20" customFormat="1" x14ac:dyDescent="0.3">
      <c r="A6" s="173"/>
      <c r="B6" s="19"/>
      <c r="C6" s="19" t="s">
        <v>91</v>
      </c>
      <c r="D6" s="19">
        <v>-53013.077210000003</v>
      </c>
      <c r="E6" s="19">
        <v>22431227.324220002</v>
      </c>
      <c r="F6" s="19">
        <v>8873792.7030599993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1920.8</v>
      </c>
      <c r="BU6" s="19">
        <v>7715.7383519999994</v>
      </c>
      <c r="BV6" s="19">
        <v>-10.736000000000786</v>
      </c>
      <c r="BW6" s="19">
        <v>1255.0270000000019</v>
      </c>
      <c r="BX6" s="19">
        <v>0</v>
      </c>
      <c r="BY6" s="19">
        <v>-11289.609000000128</v>
      </c>
      <c r="BZ6" s="19">
        <v>-3002020.6637400007</v>
      </c>
      <c r="CA6" s="19">
        <v>-3080061.5605600001</v>
      </c>
      <c r="CB6" s="19">
        <v>0</v>
      </c>
      <c r="CC6" s="19">
        <v>0</v>
      </c>
      <c r="CD6" s="19">
        <v>0</v>
      </c>
      <c r="CE6" s="19">
        <v>3770.4889999999978</v>
      </c>
      <c r="CF6" s="19">
        <v>94761.738000000012</v>
      </c>
      <c r="CG6" s="19">
        <v>385.68600000004517</v>
      </c>
      <c r="CH6" s="19">
        <v>0</v>
      </c>
      <c r="CI6" s="19">
        <v>1139.2299999999814</v>
      </c>
      <c r="CJ6" s="19">
        <v>14738.33838000003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383366.14324994513</v>
      </c>
      <c r="E8" s="18">
        <f t="shared" si="0"/>
        <v>33668861.723692253</v>
      </c>
      <c r="F8" s="18">
        <f t="shared" si="0"/>
        <v>13745073.994864378</v>
      </c>
      <c r="G8" s="18">
        <f t="shared" si="0"/>
        <v>0</v>
      </c>
      <c r="H8" s="18">
        <f t="shared" si="0"/>
        <v>0</v>
      </c>
      <c r="I8" s="18">
        <f t="shared" si="0"/>
        <v>74968.065214578339</v>
      </c>
      <c r="J8" s="18">
        <f t="shared" si="0"/>
        <v>0</v>
      </c>
      <c r="K8" s="18">
        <f t="shared" si="0"/>
        <v>61430.362788142978</v>
      </c>
      <c r="L8" s="18">
        <f t="shared" si="0"/>
        <v>264264.6396428874</v>
      </c>
      <c r="M8" s="18">
        <f t="shared" si="0"/>
        <v>215617.50599673405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15503630.103466867</v>
      </c>
      <c r="Q8" s="18">
        <f t="shared" si="0"/>
        <v>62299942.244072296</v>
      </c>
      <c r="R8" s="18">
        <f t="shared" si="0"/>
        <v>497910.81450999976</v>
      </c>
      <c r="S8" s="18">
        <f t="shared" si="0"/>
        <v>2000809.7961351278</v>
      </c>
      <c r="T8" s="18">
        <f t="shared" si="0"/>
        <v>56675.350000000006</v>
      </c>
      <c r="U8" s="18">
        <f t="shared" si="0"/>
        <v>227744.79319349999</v>
      </c>
      <c r="V8" s="18">
        <f t="shared" si="0"/>
        <v>39136461.459999993</v>
      </c>
      <c r="W8" s="18">
        <f t="shared" si="0"/>
        <v>157266348.09547856</v>
      </c>
      <c r="X8" s="18">
        <f t="shared" si="0"/>
        <v>1405642.3</v>
      </c>
      <c r="Y8" s="18">
        <f t="shared" si="0"/>
        <v>5648447.0747429999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26171999.376865242</v>
      </c>
      <c r="AM8" s="18">
        <f t="shared" si="0"/>
        <v>97180133.138515338</v>
      </c>
      <c r="AN8" s="18">
        <f t="shared" si="0"/>
        <v>4862032.3394600004</v>
      </c>
      <c r="AO8" s="18">
        <f t="shared" si="0"/>
        <v>919690.74515144003</v>
      </c>
      <c r="AP8" s="18">
        <f t="shared" si="0"/>
        <v>10424918.118880145</v>
      </c>
      <c r="AQ8" s="18">
        <f t="shared" si="0"/>
        <v>1218366.3245821637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181309.04110000003</v>
      </c>
      <c r="AZ8" s="18">
        <f t="shared" si="0"/>
        <v>23756.924137323233</v>
      </c>
      <c r="BA8" s="18">
        <f t="shared" si="0"/>
        <v>205933.50472400693</v>
      </c>
      <c r="BB8" s="18">
        <f t="shared" si="0"/>
        <v>71313.59021999118</v>
      </c>
      <c r="BC8" s="18">
        <f t="shared" si="0"/>
        <v>272037.9028479986</v>
      </c>
      <c r="BD8" s="18">
        <f t="shared" si="0"/>
        <v>17381.384599989848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4837922.1225280128</v>
      </c>
      <c r="BL8" s="18">
        <f t="shared" si="0"/>
        <v>115032.34396244607</v>
      </c>
      <c r="BM8" s="18">
        <f t="shared" si="0"/>
        <v>1090549.3597471637</v>
      </c>
      <c r="BN8" s="18">
        <f t="shared" si="0"/>
        <v>1242527.549467382</v>
      </c>
      <c r="BO8" s="18">
        <f t="shared" si="0"/>
        <v>3.4691202304202307E-3</v>
      </c>
      <c r="BP8" s="18">
        <f t="shared" si="0"/>
        <v>260.80494932906538</v>
      </c>
      <c r="BQ8" s="18">
        <f t="shared" si="0"/>
        <v>4.0128798844989433E-3</v>
      </c>
      <c r="BR8" s="18">
        <f t="shared" si="0"/>
        <v>358178.96600000339</v>
      </c>
      <c r="BS8" s="18">
        <f t="shared" si="0"/>
        <v>1439553.5139906891</v>
      </c>
      <c r="BT8" s="18">
        <f t="shared" ref="BT8:CV8" si="1">BT5+BT6+BT7</f>
        <v>6791208.1249320181</v>
      </c>
      <c r="BU8" s="18">
        <f t="shared" si="1"/>
        <v>27254848.509965386</v>
      </c>
      <c r="BV8" s="18">
        <f t="shared" si="1"/>
        <v>9311.4528599999994</v>
      </c>
      <c r="BW8" s="18">
        <f t="shared" si="1"/>
        <v>133682.80499999999</v>
      </c>
      <c r="BX8" s="18">
        <f t="shared" si="1"/>
        <v>22663.665000000001</v>
      </c>
      <c r="BY8" s="18">
        <f>+BY5+BY6+BY7:BZ7</f>
        <v>1064306.2099400004</v>
      </c>
      <c r="BZ8" s="18">
        <f t="shared" si="1"/>
        <v>-72670.12786000967</v>
      </c>
      <c r="CA8" s="18">
        <f t="shared" si="1"/>
        <v>559189.01255999226</v>
      </c>
      <c r="CB8" s="18">
        <f t="shared" si="1"/>
        <v>19818.565999999999</v>
      </c>
      <c r="CC8" s="18">
        <f t="shared" si="1"/>
        <v>1086997.6754399999</v>
      </c>
      <c r="CD8" s="18">
        <f t="shared" si="1"/>
        <v>0</v>
      </c>
      <c r="CE8" s="18">
        <f t="shared" si="1"/>
        <v>27399.641999999993</v>
      </c>
      <c r="CF8" s="18">
        <f t="shared" si="1"/>
        <v>965132.86360000004</v>
      </c>
      <c r="CG8" s="18">
        <f t="shared" si="1"/>
        <v>444284.53850000002</v>
      </c>
      <c r="CH8" s="18">
        <f t="shared" si="1"/>
        <v>2.9318200000000001</v>
      </c>
      <c r="CI8" s="18">
        <f t="shared" si="1"/>
        <v>857916.53043999919</v>
      </c>
      <c r="CJ8" s="18">
        <f t="shared" si="1"/>
        <v>451868.79741999978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903266.84160000039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477046429.0621776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v>241720</v>
      </c>
      <c r="M11" s="26">
        <f>382605+57342.5</f>
        <v>439947.5</v>
      </c>
      <c r="N11" s="26"/>
      <c r="O11" s="26"/>
      <c r="P11" s="28">
        <v>16800</v>
      </c>
      <c r="Q11" s="26">
        <f>(P11*4016.94)/1000</f>
        <v>67484.592000000004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749152.09199999995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>
        <v>10000000</v>
      </c>
      <c r="Q12" s="26">
        <f>(P12*4016.94)/1000</f>
        <v>40169400</v>
      </c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40169400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>
        <f>-16659865-10000000</f>
        <v>-26659865</v>
      </c>
      <c r="Q19" s="26">
        <f>(P19*4016.94)/1000</f>
        <v>-107091078.11310001</v>
      </c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-107091078.11310001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/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0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-61137499.523000002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-61137499.523000002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61855193.542999998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61855193.542999998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0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33000</v>
      </c>
      <c r="E27" s="29"/>
      <c r="F27" s="29"/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>
        <v>5700000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5733000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-3664000</v>
      </c>
      <c r="F28" s="26">
        <v>-6874000</v>
      </c>
      <c r="G28" s="26"/>
      <c r="H28" s="26"/>
      <c r="I28" s="26"/>
      <c r="J28" s="26"/>
      <c r="K28" s="26"/>
      <c r="L28" s="27">
        <v>-1000000</v>
      </c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-11538000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>
        <v>5700000</v>
      </c>
      <c r="S29" s="26">
        <f>(R29*4016.94)/1000</f>
        <v>22896558</v>
      </c>
      <c r="T29" s="29"/>
      <c r="U29" s="26"/>
      <c r="V29" s="29"/>
      <c r="W29" s="26"/>
      <c r="X29" s="26">
        <f>6700000-5700000</f>
        <v>1000000</v>
      </c>
      <c r="Y29" s="26">
        <f>(X29*4016.94)/1000</f>
        <v>4016940</v>
      </c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>
        <v>-6700000</v>
      </c>
      <c r="BU29" s="26">
        <f>(BT29*4016.94)/1000</f>
        <v>-26913498</v>
      </c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650000-30408.63-28984.54-234629.47-145554.15</f>
        <v>210423.21</v>
      </c>
      <c r="W35" s="38">
        <f>(V35*4016.94)/1000</f>
        <v>845257.40917739994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845257.40917739994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/>
      <c r="M38" s="39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0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>
        <f>-2800.893-2473.48103</f>
        <v>-5274.3740299999999</v>
      </c>
      <c r="F40" s="44">
        <v>-365615.87002999999</v>
      </c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4">
        <v>-126639.75173</v>
      </c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-497529.99579000002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>
        <v>-6000000</v>
      </c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>
        <v>1500000</v>
      </c>
      <c r="Q43" s="44">
        <v>6000000</v>
      </c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-0.97099999999999997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f>-2.543-0.01</f>
        <v>-2.5529999999999999</v>
      </c>
      <c r="BB50" s="49">
        <v>-0.88100000000000001</v>
      </c>
      <c r="BC50" s="49">
        <v>-3.359</v>
      </c>
      <c r="BD50" s="49">
        <f>-0.215-0.01</f>
        <v>-0.22500000000000001</v>
      </c>
      <c r="BE50" s="49"/>
      <c r="BF50" s="49"/>
      <c r="BG50" s="49"/>
      <c r="BH50" s="49"/>
      <c r="BI50" s="49"/>
      <c r="BJ50" s="49"/>
      <c r="BK50" s="49">
        <v>-72.819999999999993</v>
      </c>
      <c r="BL50" s="49">
        <v>-1.4890000000000001</v>
      </c>
      <c r="BM50" s="49">
        <v>-14.12</v>
      </c>
      <c r="BN50" s="49">
        <v>-16.088000000000001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-112.506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f>-768.331+0.01</f>
        <v>-768.32100000000003</v>
      </c>
      <c r="F51" s="49">
        <f>-52.822+0.01</f>
        <v>-52.812000000000005</v>
      </c>
      <c r="G51" s="49"/>
      <c r="H51" s="49"/>
      <c r="I51" s="49"/>
      <c r="J51" s="49"/>
      <c r="K51" s="48"/>
      <c r="L51" s="48">
        <f>-46.77417-0.01</f>
        <v>-46.784169999999996</v>
      </c>
      <c r="M51" s="48">
        <f>-8.259+0.01</f>
        <v>-8.2490000000000006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-876.16617000000008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f>13.8667+0.01</f>
        <v>13.8767</v>
      </c>
      <c r="J52" s="49"/>
      <c r="K52" s="49"/>
      <c r="L52" s="48"/>
      <c r="M52" s="48"/>
      <c r="N52" s="49"/>
      <c r="O52" s="49"/>
      <c r="P52" s="49"/>
      <c r="Q52" s="49"/>
      <c r="R52" s="49">
        <v>37.89</v>
      </c>
      <c r="S52" s="49">
        <f>(R52*4016.94)/1000</f>
        <v>152.20185659999999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36.328000000000003</v>
      </c>
      <c r="BB52" s="49">
        <v>12.58</v>
      </c>
      <c r="BC52" s="49">
        <v>47.988999999999997</v>
      </c>
      <c r="BD52" s="49">
        <v>3.0659999999999998</v>
      </c>
      <c r="BE52" s="49"/>
      <c r="BF52" s="49"/>
      <c r="BG52" s="49"/>
      <c r="BH52" s="49"/>
      <c r="BI52" s="49"/>
      <c r="BJ52" s="49"/>
      <c r="BK52" s="49">
        <v>1040.2888499999999</v>
      </c>
      <c r="BL52" s="49">
        <v>21.27732</v>
      </c>
      <c r="BM52" s="49">
        <v>201.71692999999999</v>
      </c>
      <c r="BN52" s="49">
        <v>229.82805999999999</v>
      </c>
      <c r="BO52" s="49"/>
      <c r="BP52" s="49">
        <f>48.24/1000</f>
        <v>4.8240000000000005E-2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1759.2009565999999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-24.17078012</v>
      </c>
      <c r="F53" s="49">
        <f>(F10+F13+F16+F17+F33+F38+F47+F35)*4/1000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-0.18713667999999997</v>
      </c>
      <c r="M53" s="48">
        <f>(M10+M13+M17+M33+M38+M40+M51+M36+M49+M16)*4/1000</f>
        <v>-3.2996000000000004E-2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-506.55900692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 t="shared" si="5"/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-530.94991972000003</v>
      </c>
    </row>
    <row r="54" spans="1:101" x14ac:dyDescent="0.3">
      <c r="C54" s="50" t="s">
        <v>141</v>
      </c>
      <c r="D54" s="51">
        <f t="shared" ref="D54:AM54" si="6">SUM(D9:D53)</f>
        <v>33000</v>
      </c>
      <c r="E54" s="51">
        <f t="shared" si="6"/>
        <v>-9670066.8658101205</v>
      </c>
      <c r="F54" s="51">
        <f>SUM(F9:F53)</f>
        <v>-7239668.6820299998</v>
      </c>
      <c r="G54" s="51">
        <f t="shared" si="6"/>
        <v>0</v>
      </c>
      <c r="H54" s="51">
        <f t="shared" si="6"/>
        <v>0</v>
      </c>
      <c r="I54" s="51">
        <f t="shared" si="6"/>
        <v>12.9057</v>
      </c>
      <c r="J54" s="51">
        <f t="shared" si="6"/>
        <v>0</v>
      </c>
      <c r="K54" s="51">
        <f t="shared" si="6"/>
        <v>0</v>
      </c>
      <c r="L54" s="52">
        <f>SUM(L9:L53)</f>
        <v>-40632.951306684168</v>
      </c>
      <c r="M54" s="51">
        <f t="shared" si="6"/>
        <v>439939.21800399997</v>
      </c>
      <c r="N54" s="51">
        <f t="shared" si="6"/>
        <v>0</v>
      </c>
      <c r="O54" s="51">
        <f t="shared" si="6"/>
        <v>0</v>
      </c>
      <c r="P54" s="51">
        <f t="shared" si="6"/>
        <v>-15143065</v>
      </c>
      <c r="Q54" s="51">
        <f t="shared" si="6"/>
        <v>-60854193.521100007</v>
      </c>
      <c r="R54" s="51">
        <f t="shared" si="6"/>
        <v>5700037.8899999997</v>
      </c>
      <c r="S54" s="51">
        <f t="shared" si="6"/>
        <v>22896710.201856598</v>
      </c>
      <c r="T54" s="51">
        <f t="shared" si="6"/>
        <v>0</v>
      </c>
      <c r="U54" s="51">
        <f t="shared" si="6"/>
        <v>0</v>
      </c>
      <c r="V54" s="51">
        <f t="shared" si="6"/>
        <v>210423.21</v>
      </c>
      <c r="W54" s="51">
        <f t="shared" si="6"/>
        <v>845257.40917739994</v>
      </c>
      <c r="X54" s="51">
        <f t="shared" si="6"/>
        <v>1000000</v>
      </c>
      <c r="Y54" s="51">
        <f t="shared" si="6"/>
        <v>4016940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-127146.31073692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33.775000000000006</v>
      </c>
      <c r="BB54" s="51">
        <f t="shared" si="7"/>
        <v>11.699</v>
      </c>
      <c r="BC54" s="51">
        <f t="shared" si="7"/>
        <v>44.629999999999995</v>
      </c>
      <c r="BD54" s="51">
        <f t="shared" si="7"/>
        <v>2.8409999999999997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967.46884999999997</v>
      </c>
      <c r="BL54" s="51">
        <f t="shared" si="7"/>
        <v>19.788319999999999</v>
      </c>
      <c r="BM54" s="51">
        <f t="shared" si="7"/>
        <v>187.59692999999999</v>
      </c>
      <c r="BN54" s="51">
        <f t="shared" si="7"/>
        <v>213.74006</v>
      </c>
      <c r="BO54" s="51">
        <f t="shared" si="7"/>
        <v>0</v>
      </c>
      <c r="BP54" s="51">
        <f t="shared" si="7"/>
        <v>4.8240000000000005E-2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-6700000</v>
      </c>
      <c r="BU54" s="51">
        <f t="shared" si="7"/>
        <v>-26913498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0</v>
      </c>
      <c r="CA54" s="51">
        <f t="shared" si="7"/>
        <v>5700000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-70911865.008845732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416366.14324994513</v>
      </c>
      <c r="E55" s="56">
        <f t="shared" si="8"/>
        <v>23998794.857882135</v>
      </c>
      <c r="F55" s="56">
        <f>+F8+F54</f>
        <v>6505405.3128343783</v>
      </c>
      <c r="G55" s="56">
        <f t="shared" si="8"/>
        <v>0</v>
      </c>
      <c r="H55" s="56">
        <f t="shared" si="8"/>
        <v>0</v>
      </c>
      <c r="I55" s="56">
        <f t="shared" si="8"/>
        <v>74980.970914578342</v>
      </c>
      <c r="J55" s="56">
        <f t="shared" si="8"/>
        <v>0</v>
      </c>
      <c r="K55" s="56">
        <f t="shared" si="8"/>
        <v>61430.362788142978</v>
      </c>
      <c r="L55" s="56">
        <f t="shared" si="8"/>
        <v>223631.68833620322</v>
      </c>
      <c r="M55" s="56">
        <f t="shared" si="8"/>
        <v>655556.72400073404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360565.10346686654</v>
      </c>
      <c r="Q55" s="56">
        <f t="shared" si="8"/>
        <v>1445748.7229722887</v>
      </c>
      <c r="R55" s="56">
        <f t="shared" si="8"/>
        <v>6197948.7045099996</v>
      </c>
      <c r="S55" s="56">
        <f t="shared" si="8"/>
        <v>24897519.997991726</v>
      </c>
      <c r="T55" s="56">
        <f t="shared" si="8"/>
        <v>56675.350000000006</v>
      </c>
      <c r="U55" s="56">
        <f t="shared" si="8"/>
        <v>227744.79319349999</v>
      </c>
      <c r="V55" s="56">
        <f t="shared" si="8"/>
        <v>39346884.669999994</v>
      </c>
      <c r="W55" s="56">
        <f t="shared" si="8"/>
        <v>158111605.50465596</v>
      </c>
      <c r="X55" s="56">
        <f t="shared" si="8"/>
        <v>2405642.2999999998</v>
      </c>
      <c r="Y55" s="56">
        <f t="shared" si="8"/>
        <v>9665387.0747429989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282242.31999999727</v>
      </c>
      <c r="AI55" s="56">
        <f t="shared" si="8"/>
        <v>1134165.3611111888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26171999.376865242</v>
      </c>
      <c r="AM55" s="56">
        <f t="shared" si="8"/>
        <v>97180133.138515338</v>
      </c>
      <c r="AN55" s="56">
        <f t="shared" si="8"/>
        <v>4862032.3394600004</v>
      </c>
      <c r="AO55" s="56">
        <f t="shared" si="8"/>
        <v>919690.74515144003</v>
      </c>
      <c r="AP55" s="56">
        <f t="shared" si="8"/>
        <v>10297771.808143225</v>
      </c>
      <c r="AQ55" s="56">
        <f t="shared" si="8"/>
        <v>1218366.3245821637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181309.04110000003</v>
      </c>
      <c r="AZ55" s="56">
        <f t="shared" si="8"/>
        <v>23756.924137323233</v>
      </c>
      <c r="BA55" s="56">
        <f t="shared" si="8"/>
        <v>205967.27972400692</v>
      </c>
      <c r="BB55" s="56">
        <f t="shared" si="8"/>
        <v>71325.289219991173</v>
      </c>
      <c r="BC55" s="56">
        <f t="shared" si="8"/>
        <v>272082.53284799861</v>
      </c>
      <c r="BD55" s="56">
        <f t="shared" si="8"/>
        <v>17384.225599989848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4838889.5913780127</v>
      </c>
      <c r="BL55" s="56">
        <f t="shared" si="8"/>
        <v>115052.13228244608</v>
      </c>
      <c r="BM55" s="56">
        <f t="shared" si="8"/>
        <v>1090736.9566771637</v>
      </c>
      <c r="BN55" s="56">
        <f t="shared" si="8"/>
        <v>1242741.289527382</v>
      </c>
      <c r="BO55" s="56">
        <f t="shared" si="8"/>
        <v>3.4691202304202307E-3</v>
      </c>
      <c r="BP55" s="56">
        <f t="shared" si="8"/>
        <v>260.8531893290654</v>
      </c>
      <c r="BQ55" s="56">
        <f t="shared" si="8"/>
        <v>4.0128798844989433E-3</v>
      </c>
      <c r="BR55" s="56">
        <f t="shared" si="8"/>
        <v>358178.96600000339</v>
      </c>
      <c r="BS55" s="56">
        <f t="shared" si="8"/>
        <v>1439553.5139906891</v>
      </c>
      <c r="BT55" s="56">
        <f t="shared" ref="BT55:CV55" si="9">+BT8+BT54</f>
        <v>91208.124932018109</v>
      </c>
      <c r="BU55" s="56">
        <f t="shared" si="9"/>
        <v>341350.50996538624</v>
      </c>
      <c r="BV55" s="56">
        <f t="shared" si="9"/>
        <v>9311.4528599999994</v>
      </c>
      <c r="BW55" s="56">
        <f t="shared" si="9"/>
        <v>133682.80499999999</v>
      </c>
      <c r="BX55" s="56">
        <f t="shared" si="9"/>
        <v>22663.665000000001</v>
      </c>
      <c r="BY55" s="56">
        <f t="shared" si="9"/>
        <v>1064306.2099400004</v>
      </c>
      <c r="BZ55" s="56">
        <f t="shared" si="9"/>
        <v>-72670.12786000967</v>
      </c>
      <c r="CA55" s="56">
        <f t="shared" si="9"/>
        <v>6259189.0125599923</v>
      </c>
      <c r="CB55" s="56">
        <f t="shared" si="9"/>
        <v>19818.565999999999</v>
      </c>
      <c r="CC55" s="56">
        <f t="shared" si="9"/>
        <v>1086997.6754399999</v>
      </c>
      <c r="CD55" s="56">
        <f t="shared" si="9"/>
        <v>0</v>
      </c>
      <c r="CE55" s="56">
        <f t="shared" si="9"/>
        <v>27399.641999999993</v>
      </c>
      <c r="CF55" s="56">
        <f t="shared" si="9"/>
        <v>965132.86360000004</v>
      </c>
      <c r="CG55" s="56">
        <f t="shared" si="9"/>
        <v>444284.53850000002</v>
      </c>
      <c r="CH55" s="56">
        <f t="shared" si="9"/>
        <v>2.9318200000000001</v>
      </c>
      <c r="CI55" s="56">
        <f t="shared" si="9"/>
        <v>857916.53043999919</v>
      </c>
      <c r="CJ55" s="56">
        <f t="shared" si="9"/>
        <v>451868.79741999978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903266.84160000039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406134564.05333173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57"/>
      <c r="O57" s="57"/>
      <c r="P57" s="68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73"/>
      <c r="R58" s="67"/>
      <c r="S58" s="67"/>
      <c r="T58" s="67"/>
      <c r="U58" s="67"/>
      <c r="V58" s="67"/>
      <c r="W58" s="67"/>
      <c r="X58" s="150"/>
      <c r="Y58" s="150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73"/>
      <c r="Q59" s="73"/>
      <c r="R59" s="67"/>
      <c r="S59" s="67"/>
      <c r="T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108506745.63499999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73"/>
      <c r="Q60" s="73"/>
      <c r="R60" s="67"/>
      <c r="S60" s="67"/>
      <c r="T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61855193.542999998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749152.09199999995</v>
      </c>
      <c r="E62" s="67" t="s">
        <v>205</v>
      </c>
      <c r="F62" s="89" t="s">
        <v>153</v>
      </c>
      <c r="G62" s="91">
        <f>P55</f>
        <v>360565.10346686654</v>
      </c>
      <c r="H62" s="92"/>
      <c r="I62" s="86"/>
      <c r="J62" s="66"/>
      <c r="N62" s="67"/>
      <c r="P62" s="73"/>
      <c r="Q62" s="67"/>
      <c r="R62" s="79"/>
      <c r="S62" s="67"/>
      <c r="T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5733000</v>
      </c>
      <c r="E63" s="67" t="s">
        <v>205</v>
      </c>
      <c r="F63" s="89" t="s">
        <v>155</v>
      </c>
      <c r="G63" s="91">
        <f>R55</f>
        <v>6197948.7045099996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40169400</v>
      </c>
      <c r="E64" s="67" t="s">
        <v>205</v>
      </c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56675.350000000006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39346884.669999994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2405642.2999999998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61430362.788142979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-180264107.63189</v>
      </c>
      <c r="E73" s="71"/>
      <c r="F73" s="114" t="s">
        <v>163</v>
      </c>
      <c r="G73" s="115">
        <f>L55*1000</f>
        <v>223631688.33620322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655556724.00073409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-107091078.11310001</v>
      </c>
      <c r="E75" s="67">
        <v>66921678.1131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-61137499.523000002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-11538000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0</v>
      </c>
      <c r="E81" s="101"/>
      <c r="F81" s="128" t="s">
        <v>172</v>
      </c>
      <c r="G81" s="126">
        <f>AH55</f>
        <v>282242.31999999727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-497529.99579000002</v>
      </c>
      <c r="E82" s="71" t="s">
        <v>205</v>
      </c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205933.50472400693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36.328000000000003</v>
      </c>
      <c r="L92" s="143">
        <f>BA50+BA51+BA53+BA40+BA42+BA43+BA45</f>
        <v>-2.5529999999999999</v>
      </c>
      <c r="M92" s="144">
        <f t="shared" si="10"/>
        <v>205967.27972400692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272037.9028479986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47.988999999999997</v>
      </c>
      <c r="L98" s="143">
        <f>BC50+BC51+BC53+BC40+BC42+BC43+BC45</f>
        <v>-3.359</v>
      </c>
      <c r="M98" s="144">
        <f t="shared" si="10"/>
        <v>272082.53284799861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71313.59021999118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12.58</v>
      </c>
      <c r="L99" s="143">
        <f>BB50+BB51+BB53+BB40+BB42+BB43+BB45</f>
        <v>-0.88100000000000001</v>
      </c>
      <c r="M99" s="144">
        <f t="shared" si="10"/>
        <v>71325.289219991188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17381.384599989848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3.0659999999999998</v>
      </c>
      <c r="L104" s="143">
        <f>BD50+BD51+BD53+BD40+BD42+BD43+BD45</f>
        <v>-0.22500000000000001</v>
      </c>
      <c r="M104" s="144">
        <f t="shared" si="10"/>
        <v>17384.225599989848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181309.04110000003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181309.04110000003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608103.30269167933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36.328000000000003</v>
      </c>
      <c r="L108" s="98">
        <f t="shared" si="11"/>
        <v>-2.5529999999999999</v>
      </c>
      <c r="M108" s="98">
        <f t="shared" si="11"/>
        <v>608137.07769167935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846989.15177235287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60.568999999999996</v>
      </c>
      <c r="L109" s="98">
        <f t="shared" si="12"/>
        <v>-4.24</v>
      </c>
      <c r="M109" s="98">
        <f t="shared" si="12"/>
        <v>847045.48077235289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458664.00220343011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3.0659999999999998</v>
      </c>
      <c r="L110" s="98">
        <f t="shared" si="13"/>
        <v>-0.22500000000000001</v>
      </c>
      <c r="M110" s="98">
        <f t="shared" si="13"/>
        <v>458666.84320343012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  <mergeCell ref="A9:A29"/>
    <mergeCell ref="D1:BK1"/>
    <mergeCell ref="BL1:BN1"/>
    <mergeCell ref="BR1:CJ1"/>
    <mergeCell ref="CW2:CW4"/>
    <mergeCell ref="A5:A8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03'!D55</f>
        <v>416366.14324994513</v>
      </c>
      <c r="E5" s="18">
        <f>'SEP 03'!E55</f>
        <v>23998794.857882135</v>
      </c>
      <c r="F5" s="18">
        <f>'SEP 03'!F55</f>
        <v>6505405.3128343783</v>
      </c>
      <c r="G5" s="18">
        <f>'SEP 03'!G55</f>
        <v>0</v>
      </c>
      <c r="H5" s="18">
        <f>'SEP 03'!H55</f>
        <v>0</v>
      </c>
      <c r="I5" s="18">
        <f>'SEP 03'!I55</f>
        <v>74980.970914578342</v>
      </c>
      <c r="J5" s="18">
        <f>'SEP 03'!J55</f>
        <v>0</v>
      </c>
      <c r="K5" s="18">
        <f>'SEP 03'!K55</f>
        <v>61430.362788142978</v>
      </c>
      <c r="L5" s="18">
        <f>'SEP 03'!L55</f>
        <v>223631.68833620322</v>
      </c>
      <c r="M5" s="18">
        <f>'SEP 03'!M55</f>
        <v>655556.72400073404</v>
      </c>
      <c r="N5" s="18">
        <f>'SEP 03'!N55</f>
        <v>120822.5199999999</v>
      </c>
      <c r="O5" s="18">
        <f>'SEP 03'!O55</f>
        <v>485514.42259319959</v>
      </c>
      <c r="P5" s="18">
        <f>'SEP 03'!P55</f>
        <v>360565.10346686654</v>
      </c>
      <c r="Q5" s="18">
        <f>'SEP 03'!Q55</f>
        <v>1445748.7229722887</v>
      </c>
      <c r="R5" s="18">
        <f>'SEP 03'!R55</f>
        <v>6197948.7045099996</v>
      </c>
      <c r="S5" s="18">
        <f>'SEP 03'!S55</f>
        <v>24897519.997991726</v>
      </c>
      <c r="T5" s="18">
        <f>'SEP 03'!T55</f>
        <v>56675.350000000006</v>
      </c>
      <c r="U5" s="18">
        <f>'SEP 03'!U55</f>
        <v>227744.79319349999</v>
      </c>
      <c r="V5" s="18">
        <f>'SEP 03'!V55</f>
        <v>39346884.669999994</v>
      </c>
      <c r="W5" s="18">
        <f>'SEP 03'!W55</f>
        <v>158111605.50465596</v>
      </c>
      <c r="X5" s="18">
        <f>'SEP 03'!X55</f>
        <v>2405642.2999999998</v>
      </c>
      <c r="Y5" s="18">
        <f>'SEP 03'!Y55</f>
        <v>9665387.0747429989</v>
      </c>
      <c r="Z5" s="18">
        <f>'SEP 03'!Z55</f>
        <v>9662.5274983807467</v>
      </c>
      <c r="AA5" s="18">
        <f>'SEP 03'!AA55</f>
        <v>38827.997124768175</v>
      </c>
      <c r="AB5" s="18">
        <f>'SEP 03'!AB55</f>
        <v>7542.7499999967404</v>
      </c>
      <c r="AC5" s="18">
        <f>'SEP 03'!AC55</f>
        <v>30309.862027486903</v>
      </c>
      <c r="AD5" s="18">
        <f>'SEP 03'!AD55</f>
        <v>5155</v>
      </c>
      <c r="AE5" s="18">
        <f>'SEP 03'!AE55</f>
        <v>20714.903549999999</v>
      </c>
      <c r="AF5" s="18">
        <f>'SEP 03'!AF55</f>
        <v>7956.8699999451637</v>
      </c>
      <c r="AG5" s="18">
        <f>'SEP 03'!AG55</f>
        <v>31973.965976479645</v>
      </c>
      <c r="AH5" s="18">
        <f>'SEP 03'!AH55</f>
        <v>282242.31999999727</v>
      </c>
      <c r="AI5" s="18">
        <f>'SEP 03'!AI55</f>
        <v>1134165.3611111888</v>
      </c>
      <c r="AJ5" s="18">
        <f>'SEP 03'!AJ55</f>
        <v>675895.70999999822</v>
      </c>
      <c r="AK5" s="18">
        <f>'SEP 03'!AK55</f>
        <v>2716026.0800210927</v>
      </c>
      <c r="AL5" s="18">
        <f>'SEP 03'!AL55</f>
        <v>26171999.376865242</v>
      </c>
      <c r="AM5" s="18">
        <f>'SEP 03'!AM55</f>
        <v>97180133.138515338</v>
      </c>
      <c r="AN5" s="18">
        <f>'SEP 03'!AN55</f>
        <v>4862032.3394600004</v>
      </c>
      <c r="AO5" s="18">
        <f>'SEP 03'!AO55</f>
        <v>919690.74515144003</v>
      </c>
      <c r="AP5" s="18">
        <f>'SEP 03'!AP55</f>
        <v>10297771.808143225</v>
      </c>
      <c r="AQ5" s="18">
        <f>'SEP 03'!AQ55</f>
        <v>1218366.3245821637</v>
      </c>
      <c r="AR5" s="18">
        <f>'SEP 03'!AR55</f>
        <v>33467.106463993005</v>
      </c>
      <c r="AS5" s="18">
        <f>'SEP 03'!AS55</f>
        <v>6.3419079996137473</v>
      </c>
      <c r="AT5" s="18">
        <f>'SEP 03'!AT55</f>
        <v>11.326432002509915</v>
      </c>
      <c r="AU5" s="18">
        <f>'SEP 03'!AU55</f>
        <v>70852.565203997277</v>
      </c>
      <c r="AV5" s="18">
        <f>'SEP 03'!AV55</f>
        <v>529097.77060280275</v>
      </c>
      <c r="AW5" s="18">
        <f>'SEP 03'!AW55</f>
        <v>87470.533549996806</v>
      </c>
      <c r="AX5" s="18">
        <f>'SEP 03'!AX55</f>
        <v>1064.5961240010877</v>
      </c>
      <c r="AY5" s="18">
        <f>'SEP 03'!AY55</f>
        <v>181309.04110000003</v>
      </c>
      <c r="AZ5" s="18">
        <f>'SEP 03'!AZ55</f>
        <v>23756.924137323233</v>
      </c>
      <c r="BA5" s="18">
        <f>'SEP 03'!BA55</f>
        <v>205967.27972400692</v>
      </c>
      <c r="BB5" s="18">
        <f>'SEP 03'!BB55</f>
        <v>71325.289219991173</v>
      </c>
      <c r="BC5" s="18">
        <f>'SEP 03'!BC55</f>
        <v>272082.53284799861</v>
      </c>
      <c r="BD5" s="18">
        <f>'SEP 03'!BD55</f>
        <v>17384.225599989848</v>
      </c>
      <c r="BE5" s="18">
        <f>'SEP 03'!BE55</f>
        <v>256626.99715368054</v>
      </c>
      <c r="BF5" s="18">
        <f>'SEP 03'!BF55</f>
        <v>294827.49323035986</v>
      </c>
      <c r="BG5" s="18">
        <f>'SEP 03'!BG55</f>
        <v>35110.408018882757</v>
      </c>
      <c r="BH5" s="18">
        <f>'SEP 03'!BH55</f>
        <v>24605.160800002101</v>
      </c>
      <c r="BI5" s="18">
        <f>'SEP 03'!BI55</f>
        <v>207727.90101</v>
      </c>
      <c r="BJ5" s="18">
        <f>'SEP 03'!BJ55</f>
        <v>154010.6032805602</v>
      </c>
      <c r="BK5" s="18">
        <f>'SEP 03'!BK55</f>
        <v>4838889.5913780127</v>
      </c>
      <c r="BL5" s="18">
        <f>'SEP 03'!BL55</f>
        <v>115052.13228244608</v>
      </c>
      <c r="BM5" s="18">
        <f>'SEP 03'!BM55</f>
        <v>1090736.9566771637</v>
      </c>
      <c r="BN5" s="18">
        <f>'SEP 03'!BN55</f>
        <v>1242741.289527382</v>
      </c>
      <c r="BO5" s="18">
        <f>'SEP 03'!BO55</f>
        <v>3.4691202304202307E-3</v>
      </c>
      <c r="BP5" s="18">
        <f>'SEP 03'!BP55</f>
        <v>260.8531893290654</v>
      </c>
      <c r="BQ5" s="18">
        <f>'SEP 03'!BQ55</f>
        <v>4.0128798844989433E-3</v>
      </c>
      <c r="BR5" s="18">
        <f>'SEP 03'!BR55</f>
        <v>358178.96600000339</v>
      </c>
      <c r="BS5" s="18">
        <f>'SEP 03'!BS55</f>
        <v>1439553.5139906891</v>
      </c>
      <c r="BT5" s="18">
        <f>'SEP 03'!BT55</f>
        <v>91208.124932018109</v>
      </c>
      <c r="BU5" s="18">
        <f>'SEP 03'!BU55</f>
        <v>341350.50996538624</v>
      </c>
      <c r="BV5" s="18">
        <f>'SEP 03'!BV55</f>
        <v>9311.4528599999994</v>
      </c>
      <c r="BW5" s="18">
        <f>'SEP 03'!BW55</f>
        <v>133682.80499999999</v>
      </c>
      <c r="BX5" s="18">
        <f>'SEP 03'!BX55</f>
        <v>22663.665000000001</v>
      </c>
      <c r="BY5" s="18">
        <f>'SEP 03'!BY55</f>
        <v>1064306.2099400004</v>
      </c>
      <c r="BZ5" s="18">
        <f>'SEP 03'!BZ55</f>
        <v>-72670.12786000967</v>
      </c>
      <c r="CA5" s="18">
        <f>'SEP 03'!CA55</f>
        <v>6259189.0125599923</v>
      </c>
      <c r="CB5" s="18">
        <f>'SEP 03'!CB55</f>
        <v>19818.565999999999</v>
      </c>
      <c r="CC5" s="18">
        <f>'SEP 03'!CC55</f>
        <v>1086997.6754399999</v>
      </c>
      <c r="CD5" s="18">
        <f>'SEP 03'!CD55</f>
        <v>0</v>
      </c>
      <c r="CE5" s="18">
        <f>'SEP 03'!CE55</f>
        <v>27399.641999999993</v>
      </c>
      <c r="CF5" s="18">
        <f>'SEP 03'!CF55</f>
        <v>965132.86360000004</v>
      </c>
      <c r="CG5" s="18">
        <f>'SEP 03'!CG55</f>
        <v>444284.53850000002</v>
      </c>
      <c r="CH5" s="18">
        <f>'SEP 03'!CH55</f>
        <v>2.9318200000000001</v>
      </c>
      <c r="CI5" s="18">
        <f>'SEP 03'!CI55</f>
        <v>857916.53043999919</v>
      </c>
      <c r="CJ5" s="18">
        <f>'SEP 03'!CJ55</f>
        <v>451868.79741999978</v>
      </c>
      <c r="CK5" s="18">
        <f>'SEP 03'!CK55</f>
        <v>0</v>
      </c>
      <c r="CL5" s="18">
        <f>'SEP 03'!CL55</f>
        <v>0</v>
      </c>
      <c r="CM5" s="18">
        <f>'SEP 03'!CM55</f>
        <v>79545.207070000004</v>
      </c>
      <c r="CN5" s="18">
        <f>'SEP 03'!CN55</f>
        <v>647657.33605000004</v>
      </c>
      <c r="CO5" s="18">
        <f>'SEP 03'!CO55</f>
        <v>736464.8368199995</v>
      </c>
      <c r="CP5" s="18">
        <f>'SEP 03'!CP55</f>
        <v>9152723.6727600005</v>
      </c>
      <c r="CQ5" s="18">
        <f>'SEP 03'!CQ55</f>
        <v>377715.39094000001</v>
      </c>
      <c r="CR5" s="18">
        <f>'SEP 03'!CR55</f>
        <v>903266.84160000039</v>
      </c>
      <c r="CS5" s="18">
        <f>'SEP 03'!CS55</f>
        <v>5013.4199999999992</v>
      </c>
      <c r="CT5" s="18">
        <f>'SEP 03'!CT55</f>
        <v>20149.387893799994</v>
      </c>
      <c r="CU5" s="18">
        <f>'SEP 03'!CU55</f>
        <v>5013.4199999999992</v>
      </c>
      <c r="CV5" s="18">
        <f>'SEP 03'!CV55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406134564.05333173</v>
      </c>
    </row>
    <row r="6" spans="1:101" s="20" customFormat="1" x14ac:dyDescent="0.3">
      <c r="A6" s="173"/>
      <c r="B6" s="19"/>
      <c r="C6" s="19" t="s">
        <v>91</v>
      </c>
      <c r="D6" s="19">
        <v>-8141.0352600000006</v>
      </c>
      <c r="E6" s="19">
        <v>6300641.4917999972</v>
      </c>
      <c r="F6" s="19">
        <v>3496429.8226500009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-10.817999999999302</v>
      </c>
      <c r="BW6" s="19">
        <v>5992.627999999997</v>
      </c>
      <c r="BX6" s="19">
        <v>0</v>
      </c>
      <c r="BY6" s="19">
        <v>10965.192999999988</v>
      </c>
      <c r="BZ6" s="19">
        <v>-1606594.0069999998</v>
      </c>
      <c r="CA6" s="19">
        <v>-2400115.6140000001</v>
      </c>
      <c r="CB6" s="19">
        <v>0</v>
      </c>
      <c r="CC6" s="19">
        <v>16540.577560000122</v>
      </c>
      <c r="CD6" s="19">
        <v>0</v>
      </c>
      <c r="CE6" s="19">
        <v>0</v>
      </c>
      <c r="CF6" s="19">
        <v>225812.89240000001</v>
      </c>
      <c r="CG6" s="19">
        <v>0</v>
      </c>
      <c r="CH6" s="19">
        <v>0</v>
      </c>
      <c r="CI6" s="19">
        <v>-12848.544999999925</v>
      </c>
      <c r="CJ6" s="19">
        <v>27184.711619999958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408225.10798994516</v>
      </c>
      <c r="E8" s="18">
        <f t="shared" si="0"/>
        <v>30299436.34968213</v>
      </c>
      <c r="F8" s="18">
        <f t="shared" si="0"/>
        <v>10001835.135484379</v>
      </c>
      <c r="G8" s="18">
        <f t="shared" si="0"/>
        <v>0</v>
      </c>
      <c r="H8" s="18">
        <f t="shared" si="0"/>
        <v>0</v>
      </c>
      <c r="I8" s="18">
        <f t="shared" si="0"/>
        <v>74980.970914578342</v>
      </c>
      <c r="J8" s="18">
        <f t="shared" si="0"/>
        <v>0</v>
      </c>
      <c r="K8" s="18">
        <f t="shared" si="0"/>
        <v>61430.362788142978</v>
      </c>
      <c r="L8" s="18">
        <f t="shared" si="0"/>
        <v>223631.68833620322</v>
      </c>
      <c r="M8" s="18">
        <f t="shared" si="0"/>
        <v>655556.72400073404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360565.10346686654</v>
      </c>
      <c r="Q8" s="18">
        <f t="shared" si="0"/>
        <v>1445748.7229722887</v>
      </c>
      <c r="R8" s="18">
        <f t="shared" si="0"/>
        <v>6197948.7045099996</v>
      </c>
      <c r="S8" s="18">
        <f t="shared" si="0"/>
        <v>24897519.997991726</v>
      </c>
      <c r="T8" s="18">
        <f t="shared" si="0"/>
        <v>56675.350000000006</v>
      </c>
      <c r="U8" s="18">
        <f t="shared" si="0"/>
        <v>227744.79319349999</v>
      </c>
      <c r="V8" s="18">
        <f t="shared" si="0"/>
        <v>39346884.669999994</v>
      </c>
      <c r="W8" s="18">
        <f t="shared" si="0"/>
        <v>158111605.50465596</v>
      </c>
      <c r="X8" s="18">
        <f t="shared" si="0"/>
        <v>2405642.2999999998</v>
      </c>
      <c r="Y8" s="18">
        <f t="shared" si="0"/>
        <v>9665387.0747429989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26171999.376865242</v>
      </c>
      <c r="AM8" s="18">
        <f t="shared" si="0"/>
        <v>97180133.138515338</v>
      </c>
      <c r="AN8" s="18">
        <f t="shared" si="0"/>
        <v>4862032.3394600004</v>
      </c>
      <c r="AO8" s="18">
        <f t="shared" si="0"/>
        <v>919690.74515144003</v>
      </c>
      <c r="AP8" s="18">
        <f t="shared" si="0"/>
        <v>10297771.808143225</v>
      </c>
      <c r="AQ8" s="18">
        <f t="shared" si="0"/>
        <v>1218366.3245821637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181309.04110000003</v>
      </c>
      <c r="AZ8" s="18">
        <f t="shared" si="0"/>
        <v>23756.924137323233</v>
      </c>
      <c r="BA8" s="18">
        <f t="shared" si="0"/>
        <v>205967.27972400692</v>
      </c>
      <c r="BB8" s="18">
        <f t="shared" si="0"/>
        <v>71325.289219991173</v>
      </c>
      <c r="BC8" s="18">
        <f t="shared" si="0"/>
        <v>272082.53284799861</v>
      </c>
      <c r="BD8" s="18">
        <f t="shared" si="0"/>
        <v>17384.225599989848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4838889.5913780127</v>
      </c>
      <c r="BL8" s="18">
        <f t="shared" si="0"/>
        <v>115052.13228244608</v>
      </c>
      <c r="BM8" s="18">
        <f t="shared" si="0"/>
        <v>1090736.9566771637</v>
      </c>
      <c r="BN8" s="18">
        <f t="shared" si="0"/>
        <v>1242741.289527382</v>
      </c>
      <c r="BO8" s="18">
        <f t="shared" si="0"/>
        <v>3.4691202304202307E-3</v>
      </c>
      <c r="BP8" s="18">
        <f t="shared" si="0"/>
        <v>260.8531893290654</v>
      </c>
      <c r="BQ8" s="18">
        <f t="shared" si="0"/>
        <v>4.0128798844989433E-3</v>
      </c>
      <c r="BR8" s="18">
        <f t="shared" si="0"/>
        <v>358178.96600000339</v>
      </c>
      <c r="BS8" s="18">
        <f t="shared" si="0"/>
        <v>1439553.5139906891</v>
      </c>
      <c r="BT8" s="18">
        <f t="shared" ref="BT8:CV8" si="1">BT5+BT6+BT7</f>
        <v>91208.124932018109</v>
      </c>
      <c r="BU8" s="18">
        <f t="shared" si="1"/>
        <v>341350.50996538624</v>
      </c>
      <c r="BV8" s="18">
        <f t="shared" si="1"/>
        <v>9300.6348600000001</v>
      </c>
      <c r="BW8" s="18">
        <f t="shared" si="1"/>
        <v>139675.43299999999</v>
      </c>
      <c r="BX8" s="18">
        <f t="shared" si="1"/>
        <v>22663.665000000001</v>
      </c>
      <c r="BY8" s="18">
        <f>+BY5+BY6+BY7:BZ7</f>
        <v>1075271.4029400004</v>
      </c>
      <c r="BZ8" s="18">
        <f t="shared" si="1"/>
        <v>-1679264.1348600094</v>
      </c>
      <c r="CA8" s="18">
        <f t="shared" si="1"/>
        <v>3859073.3985599922</v>
      </c>
      <c r="CB8" s="18">
        <f t="shared" si="1"/>
        <v>19818.565999999999</v>
      </c>
      <c r="CC8" s="18">
        <f t="shared" si="1"/>
        <v>1103538.253</v>
      </c>
      <c r="CD8" s="18">
        <f t="shared" si="1"/>
        <v>0</v>
      </c>
      <c r="CE8" s="18">
        <f t="shared" si="1"/>
        <v>27399.641999999993</v>
      </c>
      <c r="CF8" s="18">
        <f t="shared" si="1"/>
        <v>1190945.7560000001</v>
      </c>
      <c r="CG8" s="18">
        <f t="shared" si="1"/>
        <v>444284.53850000002</v>
      </c>
      <c r="CH8" s="18">
        <f t="shared" si="1"/>
        <v>2.9318200000000001</v>
      </c>
      <c r="CI8" s="18">
        <f t="shared" si="1"/>
        <v>845067.98543999926</v>
      </c>
      <c r="CJ8" s="18">
        <f t="shared" si="1"/>
        <v>479053.50903999974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903266.84160000039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412190421.3511017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708900+227248</f>
        <v>936148</v>
      </c>
      <c r="M11" s="26">
        <f>280030+97392</f>
        <v>377422</v>
      </c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1313570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>
        <v>-38237625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-38237625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-82660118.840000004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-82660118.840000004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>
        <v>3565545</v>
      </c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3565545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71559787.034999996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71559787.034999996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0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46000</v>
      </c>
      <c r="E27" s="29"/>
      <c r="F27" s="29"/>
      <c r="G27" s="26"/>
      <c r="H27" s="26"/>
      <c r="I27" s="26"/>
      <c r="J27" s="26"/>
      <c r="K27" s="26"/>
      <c r="L27" s="27">
        <v>7200000</v>
      </c>
      <c r="M27" s="26">
        <f>20000000+17700000</f>
        <v>37700000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>
        <v>16000000</v>
      </c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2000000</v>
      </c>
      <c r="CA27" s="26">
        <v>1500000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64446000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-19672000</v>
      </c>
      <c r="F28" s="26">
        <v>-4392000</v>
      </c>
      <c r="G28" s="26"/>
      <c r="H28" s="26"/>
      <c r="I28" s="26"/>
      <c r="J28" s="26"/>
      <c r="K28" s="26"/>
      <c r="L28" s="27"/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-24064000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>
        <v>898393.50000999996</v>
      </c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898393.50000999996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>
        <v>2367.0399200000002</v>
      </c>
      <c r="M32" s="34">
        <v>120.4</v>
      </c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2487.4399200000003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-510000-4380000-2370000-660000</f>
        <v>-7920000</v>
      </c>
      <c r="W35" s="38">
        <f>(V35*4002.86)/1000</f>
        <v>-31702651.199999999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-31702651.199999999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v>-1490300</v>
      </c>
      <c r="M38" s="39">
        <v>-298060</v>
      </c>
      <c r="N38" s="38"/>
      <c r="O38" s="38"/>
      <c r="P38" s="38">
        <v>-328528.68</v>
      </c>
      <c r="Q38" s="38">
        <f>(P38*4002.86)/1000</f>
        <v>-1315054.3120248001</v>
      </c>
      <c r="R38" s="38">
        <v>-82132.17</v>
      </c>
      <c r="S38" s="38">
        <f>(R38*4002.86)/1000</f>
        <v>-328763.57800620003</v>
      </c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-3432177.8900310001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f>-0.971-0.01</f>
        <v>-0.98099999999999998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-2.5430000000000001</v>
      </c>
      <c r="BB50" s="49">
        <v>-0.88100000000000001</v>
      </c>
      <c r="BC50" s="49">
        <f>-3.36-0.01</f>
        <v>-3.3699999999999997</v>
      </c>
      <c r="BD50" s="49">
        <v>-0.215</v>
      </c>
      <c r="BE50" s="49"/>
      <c r="BF50" s="49"/>
      <c r="BG50" s="49"/>
      <c r="BH50" s="49"/>
      <c r="BI50" s="49"/>
      <c r="BJ50" s="49"/>
      <c r="BK50" s="49"/>
      <c r="BL50" s="49">
        <v>-1.49</v>
      </c>
      <c r="BM50" s="49">
        <f>-14.123-0.01</f>
        <v>-14.132999999999999</v>
      </c>
      <c r="BN50" s="49">
        <v>-16.091000000000001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-39.704000000000001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f>-769.091-0.01</f>
        <v>-769.101</v>
      </c>
      <c r="F51" s="49">
        <v>-52.822000000000003</v>
      </c>
      <c r="G51" s="49"/>
      <c r="H51" s="49"/>
      <c r="I51" s="49"/>
      <c r="J51" s="49"/>
      <c r="K51" s="48"/>
      <c r="L51" s="48">
        <v>-49.685540000000003</v>
      </c>
      <c r="M51" s="48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-871.60853999999995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13.86909</v>
      </c>
      <c r="J52" s="49"/>
      <c r="K52" s="49"/>
      <c r="L52" s="48"/>
      <c r="M52" s="48"/>
      <c r="N52" s="49"/>
      <c r="O52" s="49"/>
      <c r="P52" s="49"/>
      <c r="Q52" s="49"/>
      <c r="R52" s="49">
        <v>471.64</v>
      </c>
      <c r="S52" s="49">
        <f>(R52*4002.86)/1000</f>
        <v>1887.9088904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36.334000000000003</v>
      </c>
      <c r="BB52" s="49">
        <v>12.582000000000001</v>
      </c>
      <c r="BC52" s="49">
        <v>47.997</v>
      </c>
      <c r="BD52" s="49">
        <f>3.067+0.01</f>
        <v>3.077</v>
      </c>
      <c r="BE52" s="49"/>
      <c r="BF52" s="49"/>
      <c r="BG52" s="49"/>
      <c r="BH52" s="49"/>
      <c r="BI52" s="49"/>
      <c r="BJ52" s="49"/>
      <c r="BK52" s="49"/>
      <c r="BL52" s="49">
        <v>21.28098</v>
      </c>
      <c r="BM52" s="49">
        <v>201.75164000000001</v>
      </c>
      <c r="BN52" s="49">
        <v>229.86760000000001</v>
      </c>
      <c r="BO52" s="49"/>
      <c r="BP52" s="49">
        <f>48.24/1000</f>
        <v>4.8240000000000005E-2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2454.7164404000005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-3.0764040000000001</v>
      </c>
      <c r="F53" s="49">
        <f>(F10+F13+F16+F17+F33+F38+F47+F35+F40)*4/1000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-5961.3987421599995</v>
      </c>
      <c r="M53" s="48">
        <f>(M10+M13+M17+M33+M38+M40+M51+M36+M49+M16)*4/1000</f>
        <v>-1192.24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 t="shared" si="5"/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-7156.7151461599997</v>
      </c>
    </row>
    <row r="54" spans="1:101" x14ac:dyDescent="0.3">
      <c r="C54" s="50" t="s">
        <v>141</v>
      </c>
      <c r="D54" s="51">
        <f t="shared" ref="D54:AM54" si="6">SUM(D9:D53)</f>
        <v>46000</v>
      </c>
      <c r="E54" s="51">
        <f t="shared" si="6"/>
        <v>-19672772.177404001</v>
      </c>
      <c r="F54" s="51">
        <f>SUM(F9:F53)</f>
        <v>-4392052.8219999997</v>
      </c>
      <c r="G54" s="51">
        <f t="shared" si="6"/>
        <v>0</v>
      </c>
      <c r="H54" s="51">
        <f t="shared" si="6"/>
        <v>0</v>
      </c>
      <c r="I54" s="51">
        <f t="shared" si="6"/>
        <v>12.88809</v>
      </c>
      <c r="J54" s="51">
        <f t="shared" si="6"/>
        <v>0</v>
      </c>
      <c r="K54" s="51">
        <f t="shared" si="6"/>
        <v>0</v>
      </c>
      <c r="L54" s="52">
        <f>SUM(L9:L53)</f>
        <v>5810.6506478328174</v>
      </c>
      <c r="M54" s="51">
        <f t="shared" si="6"/>
        <v>-459334.83999999997</v>
      </c>
      <c r="N54" s="51">
        <f t="shared" si="6"/>
        <v>0</v>
      </c>
      <c r="O54" s="51">
        <f t="shared" si="6"/>
        <v>0</v>
      </c>
      <c r="P54" s="51">
        <f t="shared" si="6"/>
        <v>-328528.68</v>
      </c>
      <c r="Q54" s="51">
        <f t="shared" si="6"/>
        <v>-1315054.3120248001</v>
      </c>
      <c r="R54" s="51">
        <f t="shared" si="6"/>
        <v>-81660.53</v>
      </c>
      <c r="S54" s="51">
        <f t="shared" si="6"/>
        <v>-326875.6691158</v>
      </c>
      <c r="T54" s="51">
        <f t="shared" si="6"/>
        <v>0</v>
      </c>
      <c r="U54" s="51">
        <f t="shared" si="6"/>
        <v>0</v>
      </c>
      <c r="V54" s="51">
        <f t="shared" si="6"/>
        <v>-7920000</v>
      </c>
      <c r="W54" s="51">
        <f t="shared" si="6"/>
        <v>-31702651.199999999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33.791000000000004</v>
      </c>
      <c r="BB54" s="51">
        <f t="shared" si="7"/>
        <v>11.701000000000001</v>
      </c>
      <c r="BC54" s="51">
        <f t="shared" si="7"/>
        <v>44.627000000000002</v>
      </c>
      <c r="BD54" s="51">
        <f t="shared" si="7"/>
        <v>2.8620000000000001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16000000</v>
      </c>
      <c r="BL54" s="51">
        <f t="shared" si="7"/>
        <v>19.790980000000001</v>
      </c>
      <c r="BM54" s="51">
        <f t="shared" si="7"/>
        <v>187.61864</v>
      </c>
      <c r="BN54" s="51">
        <f t="shared" si="7"/>
        <v>213.7766</v>
      </c>
      <c r="BO54" s="51">
        <f t="shared" si="7"/>
        <v>0</v>
      </c>
      <c r="BP54" s="51">
        <f t="shared" si="7"/>
        <v>4.8240000000000005E-2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2000000</v>
      </c>
      <c r="CA54" s="51">
        <f t="shared" si="7"/>
        <v>1500000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-38316403.266346775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454225.10798994516</v>
      </c>
      <c r="E55" s="56">
        <f t="shared" si="8"/>
        <v>10626664.172278129</v>
      </c>
      <c r="F55" s="56">
        <f>+F8+F54</f>
        <v>5609782.3134843791</v>
      </c>
      <c r="G55" s="56">
        <f t="shared" si="8"/>
        <v>0</v>
      </c>
      <c r="H55" s="56">
        <f t="shared" si="8"/>
        <v>0</v>
      </c>
      <c r="I55" s="56">
        <f t="shared" si="8"/>
        <v>74993.859004578335</v>
      </c>
      <c r="J55" s="56">
        <f t="shared" si="8"/>
        <v>0</v>
      </c>
      <c r="K55" s="56">
        <f t="shared" si="8"/>
        <v>61430.362788142978</v>
      </c>
      <c r="L55" s="56">
        <f t="shared" si="8"/>
        <v>229442.33898403603</v>
      </c>
      <c r="M55" s="56">
        <f t="shared" si="8"/>
        <v>196221.88400073408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32036.423466866545</v>
      </c>
      <c r="Q55" s="56">
        <f t="shared" si="8"/>
        <v>130694.41094748862</v>
      </c>
      <c r="R55" s="56">
        <f t="shared" si="8"/>
        <v>6116288.1745099993</v>
      </c>
      <c r="S55" s="56">
        <f t="shared" si="8"/>
        <v>24570644.328875925</v>
      </c>
      <c r="T55" s="56">
        <f t="shared" si="8"/>
        <v>56675.350000000006</v>
      </c>
      <c r="U55" s="56">
        <f t="shared" si="8"/>
        <v>227744.79319349999</v>
      </c>
      <c r="V55" s="56">
        <f t="shared" si="8"/>
        <v>31426884.669999994</v>
      </c>
      <c r="W55" s="56">
        <f t="shared" si="8"/>
        <v>126408954.30465595</v>
      </c>
      <c r="X55" s="56">
        <f t="shared" si="8"/>
        <v>2405642.2999999998</v>
      </c>
      <c r="Y55" s="56">
        <f t="shared" si="8"/>
        <v>9665387.0747429989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282242.31999999727</v>
      </c>
      <c r="AI55" s="56">
        <f t="shared" si="8"/>
        <v>1134165.3611111888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26171999.376865242</v>
      </c>
      <c r="AM55" s="56">
        <f t="shared" si="8"/>
        <v>97180133.138515338</v>
      </c>
      <c r="AN55" s="56">
        <f t="shared" si="8"/>
        <v>4862032.3394600004</v>
      </c>
      <c r="AO55" s="56">
        <f t="shared" si="8"/>
        <v>919690.74515144003</v>
      </c>
      <c r="AP55" s="56">
        <f t="shared" si="8"/>
        <v>10297771.808143225</v>
      </c>
      <c r="AQ55" s="56">
        <f t="shared" si="8"/>
        <v>1218366.3245821637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181309.04110000003</v>
      </c>
      <c r="AZ55" s="56">
        <f t="shared" si="8"/>
        <v>23756.924137323233</v>
      </c>
      <c r="BA55" s="56">
        <f t="shared" si="8"/>
        <v>206001.07072400692</v>
      </c>
      <c r="BB55" s="56">
        <f t="shared" si="8"/>
        <v>71336.990219991174</v>
      </c>
      <c r="BC55" s="56">
        <f t="shared" si="8"/>
        <v>272127.15984799858</v>
      </c>
      <c r="BD55" s="56">
        <f t="shared" si="8"/>
        <v>17387.087599989849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20838889.591378011</v>
      </c>
      <c r="BL55" s="56">
        <f t="shared" si="8"/>
        <v>115071.92326244609</v>
      </c>
      <c r="BM55" s="56">
        <f t="shared" si="8"/>
        <v>1090924.5753171637</v>
      </c>
      <c r="BN55" s="56">
        <f t="shared" si="8"/>
        <v>1242955.066127382</v>
      </c>
      <c r="BO55" s="56">
        <f t="shared" si="8"/>
        <v>3.4691202304202307E-3</v>
      </c>
      <c r="BP55" s="56">
        <f t="shared" si="8"/>
        <v>260.90142932906542</v>
      </c>
      <c r="BQ55" s="56">
        <f t="shared" si="8"/>
        <v>4.0128798844989433E-3</v>
      </c>
      <c r="BR55" s="56">
        <f t="shared" si="8"/>
        <v>358178.96600000339</v>
      </c>
      <c r="BS55" s="56">
        <f t="shared" si="8"/>
        <v>1439553.5139906891</v>
      </c>
      <c r="BT55" s="56">
        <f t="shared" ref="BT55:CV55" si="9">+BT8+BT54</f>
        <v>91208.124932018109</v>
      </c>
      <c r="BU55" s="56">
        <f t="shared" si="9"/>
        <v>341350.50996538624</v>
      </c>
      <c r="BV55" s="56">
        <f t="shared" si="9"/>
        <v>9300.6348600000001</v>
      </c>
      <c r="BW55" s="56">
        <f t="shared" si="9"/>
        <v>139675.43299999999</v>
      </c>
      <c r="BX55" s="56">
        <f t="shared" si="9"/>
        <v>22663.665000000001</v>
      </c>
      <c r="BY55" s="56">
        <f t="shared" si="9"/>
        <v>1075271.4029400004</v>
      </c>
      <c r="BZ55" s="56">
        <f t="shared" si="9"/>
        <v>320735.86513999058</v>
      </c>
      <c r="CA55" s="56">
        <f t="shared" si="9"/>
        <v>5359073.3985599922</v>
      </c>
      <c r="CB55" s="56">
        <f t="shared" si="9"/>
        <v>19818.565999999999</v>
      </c>
      <c r="CC55" s="56">
        <f t="shared" si="9"/>
        <v>1103538.253</v>
      </c>
      <c r="CD55" s="56">
        <f t="shared" si="9"/>
        <v>0</v>
      </c>
      <c r="CE55" s="56">
        <f t="shared" si="9"/>
        <v>27399.641999999993</v>
      </c>
      <c r="CF55" s="56">
        <f t="shared" si="9"/>
        <v>1190945.7560000001</v>
      </c>
      <c r="CG55" s="56">
        <f t="shared" si="9"/>
        <v>444284.53850000002</v>
      </c>
      <c r="CH55" s="56">
        <f t="shared" si="9"/>
        <v>2.9318200000000001</v>
      </c>
      <c r="CI55" s="56">
        <f t="shared" si="9"/>
        <v>845067.98543999926</v>
      </c>
      <c r="CJ55" s="56">
        <f t="shared" si="9"/>
        <v>479053.50903999974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903266.84160000039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373874018.08475488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57"/>
      <c r="O57" s="57"/>
      <c r="P57" s="68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73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73"/>
      <c r="Q59" s="73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141785782.97493002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73"/>
      <c r="Q60" s="73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71559787.034999996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1313570</v>
      </c>
      <c r="E62" s="67" t="s">
        <v>205</v>
      </c>
      <c r="F62" s="89" t="s">
        <v>153</v>
      </c>
      <c r="G62" s="91">
        <f>P55</f>
        <v>32036.423466866545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64446000</v>
      </c>
      <c r="E63" s="67" t="s">
        <v>205</v>
      </c>
      <c r="F63" s="89" t="s">
        <v>155</v>
      </c>
      <c r="G63" s="91">
        <f>R55</f>
        <v>6116288.1745099993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0</v>
      </c>
      <c r="E64" s="67"/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3565545</v>
      </c>
      <c r="E65" s="67" t="s">
        <v>205</v>
      </c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898393.50000999996</v>
      </c>
      <c r="E66" s="101" t="s">
        <v>205</v>
      </c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2487.4399200000003</v>
      </c>
      <c r="E67" s="101" t="s">
        <v>205</v>
      </c>
      <c r="F67" s="104" t="s">
        <v>6</v>
      </c>
      <c r="G67" s="105">
        <f>T55</f>
        <v>56675.350000000006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31426884.669999994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2405642.2999999998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61430362.788142979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-148393921.73003101</v>
      </c>
      <c r="E73" s="71"/>
      <c r="F73" s="114" t="s">
        <v>163</v>
      </c>
      <c r="G73" s="115">
        <f>L55*1000</f>
        <v>229442338.98403603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196221884.00073409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-38237625</v>
      </c>
      <c r="E75" s="67">
        <v>-66921678.1131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-82660118.840000004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-24064000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-3432177.8900310001</v>
      </c>
      <c r="E81" s="101" t="s">
        <v>205</v>
      </c>
      <c r="F81" s="128" t="s">
        <v>172</v>
      </c>
      <c r="G81" s="126">
        <f>AH55</f>
        <v>282242.31999999727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205967.27972400692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36.334000000000003</v>
      </c>
      <c r="L92" s="143">
        <f>BA50+BA51+BA53+BA40+BA42+BA43+BA45</f>
        <v>-2.5430000000000001</v>
      </c>
      <c r="M92" s="144">
        <f t="shared" si="10"/>
        <v>206001.07072400692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272082.53284799861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47.997</v>
      </c>
      <c r="L98" s="143">
        <f>BC50+BC51+BC53+BC40+BC42+BC43+BC45</f>
        <v>-3.3699999999999997</v>
      </c>
      <c r="M98" s="144">
        <f t="shared" si="10"/>
        <v>272127.15984799858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71325.289219991173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12.582000000000001</v>
      </c>
      <c r="L99" s="143">
        <f>BB50+BB51+BB53+BB40+BB42+BB43+BB45</f>
        <v>-0.88100000000000001</v>
      </c>
      <c r="M99" s="144">
        <f t="shared" si="10"/>
        <v>71336.990219991174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17384.225599989848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3.077</v>
      </c>
      <c r="L104" s="143">
        <f>BD50+BD51+BD53+BD40+BD42+BD43+BD45</f>
        <v>-0.215</v>
      </c>
      <c r="M104" s="144">
        <f t="shared" si="10"/>
        <v>17387.087599989849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181309.04110000003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181309.04110000003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608137.07769167935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36.334000000000003</v>
      </c>
      <c r="L108" s="98">
        <f t="shared" si="11"/>
        <v>-2.5430000000000001</v>
      </c>
      <c r="M108" s="98">
        <f t="shared" si="11"/>
        <v>608170.86869167932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847045.48077235289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60.579000000000001</v>
      </c>
      <c r="L109" s="98">
        <f t="shared" si="12"/>
        <v>-4.2509999999999994</v>
      </c>
      <c r="M109" s="98">
        <f t="shared" si="12"/>
        <v>847101.80877235287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458666.84320343012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3.077</v>
      </c>
      <c r="L110" s="98">
        <f t="shared" si="13"/>
        <v>-0.215</v>
      </c>
      <c r="M110" s="98">
        <f t="shared" si="13"/>
        <v>458669.70520343009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  <mergeCell ref="A9:A29"/>
    <mergeCell ref="D1:BK1"/>
    <mergeCell ref="BL1:BN1"/>
    <mergeCell ref="BR1:CJ1"/>
    <mergeCell ref="CW2:CW4"/>
    <mergeCell ref="A5:A8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04'!D55</f>
        <v>454225.10798994516</v>
      </c>
      <c r="E5" s="18">
        <f>'SEP 04'!E55</f>
        <v>10626664.172278129</v>
      </c>
      <c r="F5" s="18">
        <f>'SEP 04'!F55</f>
        <v>5609782.3134843791</v>
      </c>
      <c r="G5" s="18">
        <f>'SEP 04'!G55</f>
        <v>0</v>
      </c>
      <c r="H5" s="18">
        <f>'SEP 04'!H55</f>
        <v>0</v>
      </c>
      <c r="I5" s="18">
        <f>'SEP 04'!I55</f>
        <v>74993.859004578335</v>
      </c>
      <c r="J5" s="18">
        <f>'SEP 04'!J55</f>
        <v>0</v>
      </c>
      <c r="K5" s="18">
        <f>'SEP 04'!K55</f>
        <v>61430.362788142978</v>
      </c>
      <c r="L5" s="18">
        <f>'SEP 04'!L55</f>
        <v>229442.33898403603</v>
      </c>
      <c r="M5" s="18">
        <f>'SEP 04'!M55</f>
        <v>196221.88400073408</v>
      </c>
      <c r="N5" s="18">
        <f>'SEP 04'!N55</f>
        <v>120822.5199999999</v>
      </c>
      <c r="O5" s="18">
        <f>'SEP 04'!O55</f>
        <v>485514.42259319959</v>
      </c>
      <c r="P5" s="18">
        <f>'SEP 04'!P55</f>
        <v>32036.423466866545</v>
      </c>
      <c r="Q5" s="18">
        <f>'SEP 04'!Q55</f>
        <v>130694.41094748862</v>
      </c>
      <c r="R5" s="18">
        <f>'SEP 04'!R55</f>
        <v>6116288.1745099993</v>
      </c>
      <c r="S5" s="18">
        <f>'SEP 04'!S55</f>
        <v>24570644.328875925</v>
      </c>
      <c r="T5" s="18">
        <f>'SEP 04'!T55</f>
        <v>56675.350000000006</v>
      </c>
      <c r="U5" s="18">
        <f>'SEP 04'!U55</f>
        <v>227744.79319349999</v>
      </c>
      <c r="V5" s="18">
        <f>'SEP 04'!V55</f>
        <v>31426884.669999994</v>
      </c>
      <c r="W5" s="18">
        <f>'SEP 04'!W55</f>
        <v>126408954.30465595</v>
      </c>
      <c r="X5" s="18">
        <f>'SEP 04'!X55</f>
        <v>2405642.2999999998</v>
      </c>
      <c r="Y5" s="18">
        <f>'SEP 04'!Y55</f>
        <v>9665387.0747429989</v>
      </c>
      <c r="Z5" s="18">
        <f>'SEP 04'!Z55</f>
        <v>9662.5274983807467</v>
      </c>
      <c r="AA5" s="18">
        <f>'SEP 04'!AA55</f>
        <v>38827.997124768175</v>
      </c>
      <c r="AB5" s="18">
        <f>'SEP 04'!AB55</f>
        <v>7542.7499999967404</v>
      </c>
      <c r="AC5" s="18">
        <f>'SEP 04'!AC55</f>
        <v>30309.862027486903</v>
      </c>
      <c r="AD5" s="18">
        <f>'SEP 04'!AD55</f>
        <v>5155</v>
      </c>
      <c r="AE5" s="18">
        <f>'SEP 04'!AE55</f>
        <v>20714.903549999999</v>
      </c>
      <c r="AF5" s="18">
        <f>'SEP 04'!AF55</f>
        <v>7956.8699999451637</v>
      </c>
      <c r="AG5" s="18">
        <f>'SEP 04'!AG55</f>
        <v>31973.965976479645</v>
      </c>
      <c r="AH5" s="18">
        <f>'SEP 04'!AH55</f>
        <v>282242.31999999727</v>
      </c>
      <c r="AI5" s="18">
        <f>'SEP 04'!AI55</f>
        <v>1134165.3611111888</v>
      </c>
      <c r="AJ5" s="18">
        <f>'SEP 04'!AJ55</f>
        <v>675895.70999999822</v>
      </c>
      <c r="AK5" s="18">
        <f>'SEP 04'!AK55</f>
        <v>2716026.0800210927</v>
      </c>
      <c r="AL5" s="18">
        <f>'SEP 04'!AL55</f>
        <v>26171999.376865242</v>
      </c>
      <c r="AM5" s="18">
        <f>'SEP 04'!AM55</f>
        <v>97180133.138515338</v>
      </c>
      <c r="AN5" s="18">
        <f>'SEP 04'!AN55</f>
        <v>4862032.3394600004</v>
      </c>
      <c r="AO5" s="18">
        <f>'SEP 04'!AO55</f>
        <v>919690.74515144003</v>
      </c>
      <c r="AP5" s="18">
        <f>'SEP 04'!AP55</f>
        <v>10297771.808143225</v>
      </c>
      <c r="AQ5" s="18">
        <f>'SEP 04'!AQ55</f>
        <v>1218366.3245821637</v>
      </c>
      <c r="AR5" s="18">
        <f>'SEP 04'!AR55</f>
        <v>33467.106463993005</v>
      </c>
      <c r="AS5" s="18">
        <f>'SEP 04'!AS55</f>
        <v>6.3419079996137473</v>
      </c>
      <c r="AT5" s="18">
        <f>'SEP 04'!AT55</f>
        <v>11.326432002509915</v>
      </c>
      <c r="AU5" s="18">
        <f>'SEP 04'!AU55</f>
        <v>70852.565203997277</v>
      </c>
      <c r="AV5" s="18">
        <f>'SEP 04'!AV55</f>
        <v>529097.77060280275</v>
      </c>
      <c r="AW5" s="18">
        <f>'SEP 04'!AW55</f>
        <v>87470.533549996806</v>
      </c>
      <c r="AX5" s="18">
        <f>'SEP 04'!AX55</f>
        <v>1064.5961240010877</v>
      </c>
      <c r="AY5" s="18">
        <f>'SEP 04'!AY55</f>
        <v>181309.04110000003</v>
      </c>
      <c r="AZ5" s="18">
        <f>'SEP 04'!AZ55</f>
        <v>23756.924137323233</v>
      </c>
      <c r="BA5" s="18">
        <f>'SEP 04'!BA55</f>
        <v>206001.07072400692</v>
      </c>
      <c r="BB5" s="18">
        <f>'SEP 04'!BB55</f>
        <v>71336.990219991174</v>
      </c>
      <c r="BC5" s="18">
        <f>'SEP 04'!BC55</f>
        <v>272127.15984799858</v>
      </c>
      <c r="BD5" s="18">
        <f>'SEP 04'!BD55</f>
        <v>17387.087599989849</v>
      </c>
      <c r="BE5" s="18">
        <f>'SEP 04'!BE55</f>
        <v>256626.99715368054</v>
      </c>
      <c r="BF5" s="18">
        <f>'SEP 04'!BF55</f>
        <v>294827.49323035986</v>
      </c>
      <c r="BG5" s="18">
        <f>'SEP 04'!BG55</f>
        <v>35110.408018882757</v>
      </c>
      <c r="BH5" s="18">
        <f>'SEP 04'!BH55</f>
        <v>24605.160800002101</v>
      </c>
      <c r="BI5" s="18">
        <f>'SEP 04'!BI55</f>
        <v>207727.90101</v>
      </c>
      <c r="BJ5" s="18">
        <f>'SEP 04'!BJ55</f>
        <v>154010.6032805602</v>
      </c>
      <c r="BK5" s="18">
        <f>'SEP 04'!BK55</f>
        <v>20838889.591378011</v>
      </c>
      <c r="BL5" s="18">
        <f>'SEP 04'!BL55</f>
        <v>115071.92326244609</v>
      </c>
      <c r="BM5" s="18">
        <f>'SEP 04'!BM55</f>
        <v>1090924.5753171637</v>
      </c>
      <c r="BN5" s="18">
        <f>'SEP 04'!BN55</f>
        <v>1242955.066127382</v>
      </c>
      <c r="BO5" s="18">
        <f>'SEP 04'!BO55</f>
        <v>3.4691202304202307E-3</v>
      </c>
      <c r="BP5" s="18">
        <f>'SEP 04'!BP55</f>
        <v>260.90142932906542</v>
      </c>
      <c r="BQ5" s="18">
        <f>'SEP 04'!BQ55</f>
        <v>4.0128798844989433E-3</v>
      </c>
      <c r="BR5" s="18">
        <f>'SEP 04'!BR55</f>
        <v>358178.96600000339</v>
      </c>
      <c r="BS5" s="18">
        <f>'SEP 04'!BS55</f>
        <v>1439553.5139906891</v>
      </c>
      <c r="BT5" s="18">
        <f>'SEP 04'!BT55</f>
        <v>91208.124932018109</v>
      </c>
      <c r="BU5" s="18">
        <f>'SEP 04'!BU55</f>
        <v>341350.50996538624</v>
      </c>
      <c r="BV5" s="18">
        <f>'SEP 04'!BV55</f>
        <v>9300.6348600000001</v>
      </c>
      <c r="BW5" s="18">
        <f>'SEP 04'!BW55</f>
        <v>139675.43299999999</v>
      </c>
      <c r="BX5" s="18">
        <f>'SEP 04'!BX55</f>
        <v>22663.665000000001</v>
      </c>
      <c r="BY5" s="18">
        <f>'SEP 04'!BY55</f>
        <v>1075271.4029400004</v>
      </c>
      <c r="BZ5" s="18">
        <f>'SEP 04'!BZ55</f>
        <v>320735.86513999058</v>
      </c>
      <c r="CA5" s="18">
        <f>'SEP 04'!CA55</f>
        <v>5359073.3985599922</v>
      </c>
      <c r="CB5" s="18">
        <f>'SEP 04'!CB55</f>
        <v>19818.565999999999</v>
      </c>
      <c r="CC5" s="18">
        <f>'SEP 04'!CC55</f>
        <v>1103538.253</v>
      </c>
      <c r="CD5" s="18">
        <f>'SEP 04'!CD55</f>
        <v>0</v>
      </c>
      <c r="CE5" s="18">
        <f>'SEP 04'!CE55</f>
        <v>27399.641999999993</v>
      </c>
      <c r="CF5" s="18">
        <f>'SEP 04'!CF55</f>
        <v>1190945.7560000001</v>
      </c>
      <c r="CG5" s="18">
        <f>'SEP 04'!CG55</f>
        <v>444284.53850000002</v>
      </c>
      <c r="CH5" s="18">
        <f>'SEP 04'!CH55</f>
        <v>2.9318200000000001</v>
      </c>
      <c r="CI5" s="18">
        <f>'SEP 04'!CI55</f>
        <v>845067.98543999926</v>
      </c>
      <c r="CJ5" s="18">
        <f>'SEP 04'!CJ55</f>
        <v>479053.50903999974</v>
      </c>
      <c r="CK5" s="18">
        <f>'SEP 04'!CK55</f>
        <v>0</v>
      </c>
      <c r="CL5" s="18">
        <f>'SEP 04'!CL55</f>
        <v>0</v>
      </c>
      <c r="CM5" s="18">
        <f>'SEP 04'!CM55</f>
        <v>79545.207070000004</v>
      </c>
      <c r="CN5" s="18">
        <f>'SEP 04'!CN55</f>
        <v>647657.33605000004</v>
      </c>
      <c r="CO5" s="18">
        <f>'SEP 04'!CO55</f>
        <v>736464.8368199995</v>
      </c>
      <c r="CP5" s="18">
        <f>'SEP 04'!CP55</f>
        <v>9152723.6727600005</v>
      </c>
      <c r="CQ5" s="18">
        <f>'SEP 04'!CQ55</f>
        <v>377715.39094000001</v>
      </c>
      <c r="CR5" s="18">
        <f>'SEP 04'!CR55</f>
        <v>903266.84160000039</v>
      </c>
      <c r="CS5" s="18">
        <f>'SEP 04'!CS55</f>
        <v>5013.4199999999992</v>
      </c>
      <c r="CT5" s="18">
        <f>'SEP 04'!CT55</f>
        <v>20149.387893799994</v>
      </c>
      <c r="CU5" s="18">
        <f>'SEP 04'!CU55</f>
        <v>5013.4199999999992</v>
      </c>
      <c r="CV5" s="18">
        <f>'SEP 04'!CV55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373874018.08475488</v>
      </c>
    </row>
    <row r="6" spans="1:101" s="20" customFormat="1" x14ac:dyDescent="0.3">
      <c r="A6" s="173"/>
      <c r="B6" s="19"/>
      <c r="C6" s="19" t="s">
        <v>91</v>
      </c>
      <c r="D6" s="19">
        <v>-103378.78748</v>
      </c>
      <c r="E6" s="19">
        <v>16217940.330939995</v>
      </c>
      <c r="F6" s="19">
        <v>7720243.7151200017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-80178.011509999997</v>
      </c>
      <c r="AM6" s="19">
        <v>105119.8199</v>
      </c>
      <c r="AN6" s="19">
        <v>-7990.3204099999994</v>
      </c>
      <c r="AO6" s="19">
        <v>-75961.885320000001</v>
      </c>
      <c r="AP6" s="19">
        <v>2161577.3168069199</v>
      </c>
      <c r="AQ6" s="19">
        <v>-438876.06887999998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-1.7569999999996071</v>
      </c>
      <c r="BW6" s="19">
        <v>54031.080000000016</v>
      </c>
      <c r="BX6" s="19">
        <v>0</v>
      </c>
      <c r="BY6" s="19">
        <v>-227313.84499999988</v>
      </c>
      <c r="BZ6" s="19">
        <v>-1623986.1269999999</v>
      </c>
      <c r="CA6" s="19">
        <v>-3019694.7449999992</v>
      </c>
      <c r="CB6" s="19">
        <v>0</v>
      </c>
      <c r="CC6" s="19">
        <v>0</v>
      </c>
      <c r="CD6" s="19">
        <v>0</v>
      </c>
      <c r="CE6" s="19">
        <v>-2.2700000000004366</v>
      </c>
      <c r="CF6" s="19">
        <v>12830.263000000035</v>
      </c>
      <c r="CG6" s="19">
        <v>-2117.8620000000228</v>
      </c>
      <c r="CH6" s="19">
        <v>0</v>
      </c>
      <c r="CI6" s="19">
        <v>1228.9201699999394</v>
      </c>
      <c r="CJ6" s="19">
        <v>19291.402000000002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350846.32050994516</v>
      </c>
      <c r="E8" s="18">
        <f t="shared" si="0"/>
        <v>26844604.503218122</v>
      </c>
      <c r="F8" s="18">
        <f t="shared" si="0"/>
        <v>13330026.028604381</v>
      </c>
      <c r="G8" s="18">
        <f t="shared" si="0"/>
        <v>0</v>
      </c>
      <c r="H8" s="18">
        <f t="shared" si="0"/>
        <v>0</v>
      </c>
      <c r="I8" s="18">
        <f t="shared" si="0"/>
        <v>74993.859004578335</v>
      </c>
      <c r="J8" s="18">
        <f t="shared" si="0"/>
        <v>0</v>
      </c>
      <c r="K8" s="18">
        <f t="shared" si="0"/>
        <v>61430.362788142978</v>
      </c>
      <c r="L8" s="18">
        <f t="shared" si="0"/>
        <v>229442.33898403603</v>
      </c>
      <c r="M8" s="18">
        <f t="shared" si="0"/>
        <v>196221.88400073408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32036.423466866545</v>
      </c>
      <c r="Q8" s="18">
        <f t="shared" si="0"/>
        <v>130694.41094748862</v>
      </c>
      <c r="R8" s="18">
        <f t="shared" si="0"/>
        <v>6116288.1745099993</v>
      </c>
      <c r="S8" s="18">
        <f t="shared" si="0"/>
        <v>24570644.328875925</v>
      </c>
      <c r="T8" s="18">
        <f t="shared" si="0"/>
        <v>56675.350000000006</v>
      </c>
      <c r="U8" s="18">
        <f t="shared" si="0"/>
        <v>227744.79319349999</v>
      </c>
      <c r="V8" s="18">
        <f t="shared" si="0"/>
        <v>31426884.669999994</v>
      </c>
      <c r="W8" s="18">
        <f t="shared" si="0"/>
        <v>126408954.30465595</v>
      </c>
      <c r="X8" s="18">
        <f t="shared" si="0"/>
        <v>2405642.2999999998</v>
      </c>
      <c r="Y8" s="18">
        <f t="shared" si="0"/>
        <v>9665387.0747429989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26091821.365355242</v>
      </c>
      <c r="AM8" s="18">
        <f t="shared" si="0"/>
        <v>97285252.958415344</v>
      </c>
      <c r="AN8" s="18">
        <f t="shared" si="0"/>
        <v>4854042.0190500002</v>
      </c>
      <c r="AO8" s="18">
        <f t="shared" si="0"/>
        <v>843728.85983144003</v>
      </c>
      <c r="AP8" s="18">
        <f t="shared" si="0"/>
        <v>12459349.124950144</v>
      </c>
      <c r="AQ8" s="18">
        <f t="shared" si="0"/>
        <v>779490.25570216379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181309.04110000003</v>
      </c>
      <c r="AZ8" s="18">
        <f t="shared" si="0"/>
        <v>23756.924137323233</v>
      </c>
      <c r="BA8" s="18">
        <f t="shared" si="0"/>
        <v>206001.07072400692</v>
      </c>
      <c r="BB8" s="18">
        <f t="shared" si="0"/>
        <v>71336.990219991174</v>
      </c>
      <c r="BC8" s="18">
        <f t="shared" si="0"/>
        <v>272127.15984799858</v>
      </c>
      <c r="BD8" s="18">
        <f t="shared" si="0"/>
        <v>17387.087599989849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20838889.591378011</v>
      </c>
      <c r="BL8" s="18">
        <f t="shared" si="0"/>
        <v>115071.92326244609</v>
      </c>
      <c r="BM8" s="18">
        <f t="shared" si="0"/>
        <v>1090924.5753171637</v>
      </c>
      <c r="BN8" s="18">
        <f t="shared" si="0"/>
        <v>1242955.066127382</v>
      </c>
      <c r="BO8" s="18">
        <f t="shared" si="0"/>
        <v>3.4691202304202307E-3</v>
      </c>
      <c r="BP8" s="18">
        <f t="shared" si="0"/>
        <v>260.90142932906542</v>
      </c>
      <c r="BQ8" s="18">
        <f t="shared" si="0"/>
        <v>4.0128798844989433E-3</v>
      </c>
      <c r="BR8" s="18">
        <f t="shared" si="0"/>
        <v>358178.96600000339</v>
      </c>
      <c r="BS8" s="18">
        <f t="shared" si="0"/>
        <v>1439553.5139906891</v>
      </c>
      <c r="BT8" s="18">
        <f t="shared" ref="BT8:CV8" si="1">BT5+BT6+BT7</f>
        <v>91208.124932018109</v>
      </c>
      <c r="BU8" s="18">
        <f t="shared" si="1"/>
        <v>341350.50996538624</v>
      </c>
      <c r="BV8" s="18">
        <f t="shared" si="1"/>
        <v>9298.8778600000005</v>
      </c>
      <c r="BW8" s="18">
        <f t="shared" si="1"/>
        <v>193706.51300000001</v>
      </c>
      <c r="BX8" s="18">
        <f t="shared" si="1"/>
        <v>22663.665000000001</v>
      </c>
      <c r="BY8" s="18">
        <f>+BY5+BY6+BY7:BZ7</f>
        <v>847957.55794000055</v>
      </c>
      <c r="BZ8" s="18">
        <f t="shared" si="1"/>
        <v>-1303250.2618600093</v>
      </c>
      <c r="CA8" s="18">
        <f t="shared" si="1"/>
        <v>2339378.653559993</v>
      </c>
      <c r="CB8" s="18">
        <f t="shared" si="1"/>
        <v>19818.565999999999</v>
      </c>
      <c r="CC8" s="18">
        <f t="shared" si="1"/>
        <v>1103538.253</v>
      </c>
      <c r="CD8" s="18">
        <f t="shared" si="1"/>
        <v>0</v>
      </c>
      <c r="CE8" s="18">
        <f t="shared" si="1"/>
        <v>27397.371999999992</v>
      </c>
      <c r="CF8" s="18">
        <f t="shared" si="1"/>
        <v>1203776.0190000001</v>
      </c>
      <c r="CG8" s="18">
        <f t="shared" si="1"/>
        <v>442166.6765</v>
      </c>
      <c r="CH8" s="18">
        <f t="shared" si="1"/>
        <v>2.9318200000000001</v>
      </c>
      <c r="CI8" s="18">
        <f t="shared" si="1"/>
        <v>846296.9056099992</v>
      </c>
      <c r="CJ8" s="18">
        <f t="shared" si="1"/>
        <v>498344.91103999974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903266.84160000039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394586779.25309187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>
        <v>63940.800000000003</v>
      </c>
      <c r="L11" s="27">
        <f>264250+178120.8</f>
        <v>442370.8</v>
      </c>
      <c r="M11" s="26">
        <v>132125</v>
      </c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638436.6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>
        <v>-58655922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-58655922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-63298377.901000001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-63298377.901000001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21865139.934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21865139.934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>
        <v>14702782.089</v>
      </c>
      <c r="M24" s="29">
        <v>58375061.388999999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73077843.478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19000</v>
      </c>
      <c r="E27" s="29"/>
      <c r="F27" s="29"/>
      <c r="G27" s="26"/>
      <c r="H27" s="26"/>
      <c r="I27" s="26"/>
      <c r="J27" s="26"/>
      <c r="K27" s="26"/>
      <c r="L27" s="27">
        <f>15500000+20000000+5600000</f>
        <v>41100000</v>
      </c>
      <c r="M27" s="26">
        <v>2200000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1500000</v>
      </c>
      <c r="CA27" s="26">
        <v>2700000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47519000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-3148000</v>
      </c>
      <c r="F28" s="26">
        <v>-3266000</v>
      </c>
      <c r="G28" s="26"/>
      <c r="H28" s="26"/>
      <c r="I28" s="26"/>
      <c r="J28" s="26"/>
      <c r="K28" s="26"/>
      <c r="L28" s="27"/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-6414000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>
        <v>-14789460</v>
      </c>
      <c r="M30" s="34">
        <v>-2084740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-16874200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460000+650000+990000</f>
        <v>2100000</v>
      </c>
      <c r="W35" s="38">
        <f>(V35*3991.09)/1000</f>
        <v>8381289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8381289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/>
      <c r="M38" s="39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0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>
        <v>-106974</v>
      </c>
      <c r="F40" s="44">
        <v>-8122.1</v>
      </c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-115096.1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>
        <v>-3960000</v>
      </c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>
        <v>1000000</v>
      </c>
      <c r="Q43" s="44">
        <v>3960000</v>
      </c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-0.97099999999999997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f>-2.545-2.544-2.544</f>
        <v>-7.6330000000000009</v>
      </c>
      <c r="BB50" s="49">
        <f>-0.881-0.881-0.881-0.01</f>
        <v>-2.6529999999999996</v>
      </c>
      <c r="BC50" s="49">
        <f>-3.361-3.361-3.36</f>
        <v>-10.082000000000001</v>
      </c>
      <c r="BD50" s="49">
        <f>-0.215-0.215-0.215-0.01</f>
        <v>-0.65500000000000003</v>
      </c>
      <c r="BE50" s="49"/>
      <c r="BF50" s="49"/>
      <c r="BG50" s="49"/>
      <c r="BH50" s="49"/>
      <c r="BI50" s="49"/>
      <c r="BJ50" s="49"/>
      <c r="BK50" s="49"/>
      <c r="BL50" s="49">
        <v>-1.49</v>
      </c>
      <c r="BM50" s="49">
        <v>-14.125</v>
      </c>
      <c r="BN50" s="49">
        <v>-16.094000000000001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-53.703000000000003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-760.99199999999996</v>
      </c>
      <c r="F51" s="49">
        <f>-81.538-0.01</f>
        <v>-81.548000000000002</v>
      </c>
      <c r="G51" s="49"/>
      <c r="H51" s="49"/>
      <c r="I51" s="49"/>
      <c r="J51" s="49"/>
      <c r="K51" s="48"/>
      <c r="L51" s="48">
        <v>-16.516999999999999</v>
      </c>
      <c r="M51" s="48">
        <v>-8.2590000000000003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-867.31600000000003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f>13.87147+0.01</f>
        <v>13.88147</v>
      </c>
      <c r="J52" s="49"/>
      <c r="K52" s="49"/>
      <c r="L52" s="48"/>
      <c r="M52" s="48"/>
      <c r="N52" s="49"/>
      <c r="O52" s="49"/>
      <c r="P52" s="49"/>
      <c r="Q52" s="49"/>
      <c r="R52" s="49">
        <v>465.42</v>
      </c>
      <c r="S52" s="49">
        <f>(R52*3991.09)/1000</f>
        <v>1857.5331078000002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f>36.352+36.346+36.34</f>
        <v>109.038</v>
      </c>
      <c r="BB52" s="49">
        <f>12.588+12.586+12.584</f>
        <v>37.757999999999996</v>
      </c>
      <c r="BC52" s="49">
        <f>48.02+48.013+48.005</f>
        <v>144.03800000000001</v>
      </c>
      <c r="BD52" s="49">
        <f>3.068+3.068+3.067</f>
        <v>9.2029999999999994</v>
      </c>
      <c r="BE52" s="49"/>
      <c r="BF52" s="49"/>
      <c r="BG52" s="49"/>
      <c r="BH52" s="49"/>
      <c r="BI52" s="49"/>
      <c r="BJ52" s="49"/>
      <c r="BK52" s="49"/>
      <c r="BL52" s="49">
        <v>21.28464</v>
      </c>
      <c r="BM52" s="49">
        <f>201.78635+0.01</f>
        <v>201.79634999999999</v>
      </c>
      <c r="BN52" s="49">
        <v>229.90715</v>
      </c>
      <c r="BO52" s="49"/>
      <c r="BP52" s="49">
        <f>48.25/1000-0.01</f>
        <v>3.8249999999999999E-2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2624.4779678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-430.93996800000002</v>
      </c>
      <c r="F53" s="49">
        <f>(F10+F13+F16+F17+F33+F38+F47+F35)*4/1000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-6.6068000000000002E-2</v>
      </c>
      <c r="M53" s="48">
        <f>(M10+M13+M17+M33+M38+M40+M51+M36+M49+M16)*4/1000</f>
        <v>-3.3036000000000003E-2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 t="shared" si="5"/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-431.03907199999998</v>
      </c>
    </row>
    <row r="54" spans="1:101" x14ac:dyDescent="0.3">
      <c r="C54" s="50" t="s">
        <v>141</v>
      </c>
      <c r="D54" s="51">
        <f t="shared" ref="D54:AM54" si="6">SUM(D9:D53)</f>
        <v>19000</v>
      </c>
      <c r="E54" s="51">
        <f t="shared" si="6"/>
        <v>-7216165.9319679998</v>
      </c>
      <c r="F54" s="51">
        <f>SUM(F9:F53)</f>
        <v>-3274203.648</v>
      </c>
      <c r="G54" s="51">
        <f t="shared" si="6"/>
        <v>0</v>
      </c>
      <c r="H54" s="51">
        <f t="shared" si="6"/>
        <v>0</v>
      </c>
      <c r="I54" s="51">
        <f t="shared" si="6"/>
        <v>12.91047</v>
      </c>
      <c r="J54" s="51">
        <f t="shared" si="6"/>
        <v>0</v>
      </c>
      <c r="K54" s="51">
        <f t="shared" si="6"/>
        <v>63940.800000000003</v>
      </c>
      <c r="L54" s="52">
        <f>SUM(L9:L53)</f>
        <v>22438.338931998391</v>
      </c>
      <c r="M54" s="51">
        <f t="shared" si="6"/>
        <v>-33483.903036001429</v>
      </c>
      <c r="N54" s="51">
        <f t="shared" si="6"/>
        <v>0</v>
      </c>
      <c r="O54" s="51">
        <f t="shared" si="6"/>
        <v>0</v>
      </c>
      <c r="P54" s="51">
        <f t="shared" si="6"/>
        <v>1000000</v>
      </c>
      <c r="Q54" s="51">
        <f t="shared" si="6"/>
        <v>3960000</v>
      </c>
      <c r="R54" s="51">
        <f t="shared" si="6"/>
        <v>465.42</v>
      </c>
      <c r="S54" s="51">
        <f t="shared" si="6"/>
        <v>1857.5331078000002</v>
      </c>
      <c r="T54" s="51">
        <f t="shared" si="6"/>
        <v>0</v>
      </c>
      <c r="U54" s="51">
        <f t="shared" si="6"/>
        <v>0</v>
      </c>
      <c r="V54" s="51">
        <f t="shared" si="6"/>
        <v>2100000</v>
      </c>
      <c r="W54" s="51">
        <f t="shared" si="6"/>
        <v>8381289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101.405</v>
      </c>
      <c r="BB54" s="51">
        <f t="shared" si="7"/>
        <v>35.104999999999997</v>
      </c>
      <c r="BC54" s="51">
        <f t="shared" si="7"/>
        <v>133.95600000000002</v>
      </c>
      <c r="BD54" s="51">
        <f t="shared" si="7"/>
        <v>8.548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19.794640000000001</v>
      </c>
      <c r="BM54" s="51">
        <f t="shared" si="7"/>
        <v>187.67134999999999</v>
      </c>
      <c r="BN54" s="51">
        <f t="shared" si="7"/>
        <v>213.81315000000001</v>
      </c>
      <c r="BO54" s="51">
        <f t="shared" si="7"/>
        <v>0</v>
      </c>
      <c r="BP54" s="51">
        <f t="shared" si="7"/>
        <v>3.8249999999999999E-2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1500000</v>
      </c>
      <c r="CA54" s="51">
        <f t="shared" si="7"/>
        <v>2700000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6125385.4308957979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369846.32050994516</v>
      </c>
      <c r="E55" s="56">
        <f t="shared" si="8"/>
        <v>19628438.571250122</v>
      </c>
      <c r="F55" s="56">
        <f>+F8+F54</f>
        <v>10055822.380604381</v>
      </c>
      <c r="G55" s="56">
        <f t="shared" si="8"/>
        <v>0</v>
      </c>
      <c r="H55" s="56">
        <f t="shared" si="8"/>
        <v>0</v>
      </c>
      <c r="I55" s="56">
        <f t="shared" si="8"/>
        <v>75006.769474578337</v>
      </c>
      <c r="J55" s="56">
        <f t="shared" si="8"/>
        <v>0</v>
      </c>
      <c r="K55" s="56">
        <f t="shared" si="8"/>
        <v>125371.16278814297</v>
      </c>
      <c r="L55" s="56">
        <f t="shared" si="8"/>
        <v>251880.67791603442</v>
      </c>
      <c r="M55" s="56">
        <f t="shared" si="8"/>
        <v>162737.98096473265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1032036.4234668666</v>
      </c>
      <c r="Q55" s="56">
        <f t="shared" si="8"/>
        <v>4090694.4109474886</v>
      </c>
      <c r="R55" s="56">
        <f t="shared" si="8"/>
        <v>6116753.5945099993</v>
      </c>
      <c r="S55" s="56">
        <f t="shared" si="8"/>
        <v>24572501.861983724</v>
      </c>
      <c r="T55" s="56">
        <f t="shared" si="8"/>
        <v>56675.350000000006</v>
      </c>
      <c r="U55" s="56">
        <f t="shared" si="8"/>
        <v>227744.79319349999</v>
      </c>
      <c r="V55" s="56">
        <f t="shared" si="8"/>
        <v>33526884.669999994</v>
      </c>
      <c r="W55" s="56">
        <f t="shared" si="8"/>
        <v>134790243.30465597</v>
      </c>
      <c r="X55" s="56">
        <f t="shared" si="8"/>
        <v>2405642.2999999998</v>
      </c>
      <c r="Y55" s="56">
        <f t="shared" si="8"/>
        <v>9665387.0747429989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282242.31999999727</v>
      </c>
      <c r="AI55" s="56">
        <f t="shared" si="8"/>
        <v>1134165.3611111888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26091821.365355242</v>
      </c>
      <c r="AM55" s="56">
        <f t="shared" si="8"/>
        <v>97285252.958415344</v>
      </c>
      <c r="AN55" s="56">
        <f t="shared" si="8"/>
        <v>4854042.0190500002</v>
      </c>
      <c r="AO55" s="56">
        <f t="shared" si="8"/>
        <v>843728.85983144003</v>
      </c>
      <c r="AP55" s="56">
        <f t="shared" si="8"/>
        <v>12459349.124950144</v>
      </c>
      <c r="AQ55" s="56">
        <f t="shared" si="8"/>
        <v>779490.25570216379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181309.04110000003</v>
      </c>
      <c r="AZ55" s="56">
        <f t="shared" si="8"/>
        <v>23756.924137323233</v>
      </c>
      <c r="BA55" s="56">
        <f t="shared" si="8"/>
        <v>206102.47572400692</v>
      </c>
      <c r="BB55" s="56">
        <f t="shared" si="8"/>
        <v>71372.09521999117</v>
      </c>
      <c r="BC55" s="56">
        <f t="shared" si="8"/>
        <v>272261.11584799859</v>
      </c>
      <c r="BD55" s="56">
        <f t="shared" si="8"/>
        <v>17395.635599989848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20838889.591378011</v>
      </c>
      <c r="BL55" s="56">
        <f t="shared" si="8"/>
        <v>115091.71790244608</v>
      </c>
      <c r="BM55" s="56">
        <f t="shared" si="8"/>
        <v>1091112.2466671637</v>
      </c>
      <c r="BN55" s="56">
        <f t="shared" si="8"/>
        <v>1243168.879277382</v>
      </c>
      <c r="BO55" s="56">
        <f t="shared" si="8"/>
        <v>3.4691202304202307E-3</v>
      </c>
      <c r="BP55" s="56">
        <f t="shared" si="8"/>
        <v>260.93967932906543</v>
      </c>
      <c r="BQ55" s="56">
        <f t="shared" si="8"/>
        <v>4.0128798844989433E-3</v>
      </c>
      <c r="BR55" s="56">
        <f t="shared" si="8"/>
        <v>358178.96600000339</v>
      </c>
      <c r="BS55" s="56">
        <f t="shared" si="8"/>
        <v>1439553.5139906891</v>
      </c>
      <c r="BT55" s="56">
        <f t="shared" ref="BT55:CV55" si="9">+BT8+BT54</f>
        <v>91208.124932018109</v>
      </c>
      <c r="BU55" s="56">
        <f t="shared" si="9"/>
        <v>341350.50996538624</v>
      </c>
      <c r="BV55" s="56">
        <f t="shared" si="9"/>
        <v>9298.8778600000005</v>
      </c>
      <c r="BW55" s="56">
        <f t="shared" si="9"/>
        <v>193706.51300000001</v>
      </c>
      <c r="BX55" s="56">
        <f t="shared" si="9"/>
        <v>22663.665000000001</v>
      </c>
      <c r="BY55" s="56">
        <f t="shared" si="9"/>
        <v>847957.55794000055</v>
      </c>
      <c r="BZ55" s="56">
        <f t="shared" si="9"/>
        <v>196749.73813999072</v>
      </c>
      <c r="CA55" s="56">
        <f t="shared" si="9"/>
        <v>5039378.653559993</v>
      </c>
      <c r="CB55" s="56">
        <f t="shared" si="9"/>
        <v>19818.565999999999</v>
      </c>
      <c r="CC55" s="56">
        <f t="shared" si="9"/>
        <v>1103538.253</v>
      </c>
      <c r="CD55" s="56">
        <f t="shared" si="9"/>
        <v>0</v>
      </c>
      <c r="CE55" s="56">
        <f t="shared" si="9"/>
        <v>27397.371999999992</v>
      </c>
      <c r="CF55" s="56">
        <f t="shared" si="9"/>
        <v>1203776.0190000001</v>
      </c>
      <c r="CG55" s="56">
        <f t="shared" si="9"/>
        <v>442166.6765</v>
      </c>
      <c r="CH55" s="56">
        <f t="shared" si="9"/>
        <v>2.9318200000000001</v>
      </c>
      <c r="CI55" s="56">
        <f t="shared" si="9"/>
        <v>846296.9056099992</v>
      </c>
      <c r="CJ55" s="56">
        <f t="shared" si="9"/>
        <v>498344.91103999974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903266.84160000039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400712164.68398768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57"/>
      <c r="O57" s="57"/>
      <c r="P57" s="68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73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73"/>
      <c r="Q59" s="73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143100420.01200002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73"/>
      <c r="Q60" s="73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21865139.934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638436.6</v>
      </c>
      <c r="E62" s="67" t="s">
        <v>205</v>
      </c>
      <c r="F62" s="89" t="s">
        <v>153</v>
      </c>
      <c r="G62" s="91">
        <f>P55</f>
        <v>1032036.4234668666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47519000</v>
      </c>
      <c r="E63" s="67" t="s">
        <v>205</v>
      </c>
      <c r="F63" s="89" t="s">
        <v>155</v>
      </c>
      <c r="G63" s="91">
        <f>R55</f>
        <v>6116753.5945099993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73077843.478</v>
      </c>
      <c r="E64" s="67" t="s">
        <v>205</v>
      </c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56675.350000000006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33526884.669999994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2405642.2999999998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125371162.78814298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-145357596.00099999</v>
      </c>
      <c r="E73" s="71"/>
      <c r="F73" s="114" t="s">
        <v>163</v>
      </c>
      <c r="G73" s="115">
        <f>L55*1000</f>
        <v>251880677.91603443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162737980.96473265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-58655922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-63298377.901000001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-6414000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-16874200</v>
      </c>
      <c r="E78" s="67" t="s">
        <v>205</v>
      </c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0</v>
      </c>
      <c r="E81" s="101"/>
      <c r="F81" s="128" t="s">
        <v>172</v>
      </c>
      <c r="G81" s="126">
        <f>AH55</f>
        <v>282242.31999999727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-115096.1</v>
      </c>
      <c r="E82" s="71" t="s">
        <v>205</v>
      </c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206001.07072400692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109.038</v>
      </c>
      <c r="L92" s="143">
        <f>BA50+BA51+BA53+BA40+BA42+BA43+BA45</f>
        <v>-7.6330000000000009</v>
      </c>
      <c r="M92" s="144">
        <f t="shared" si="10"/>
        <v>206102.47572400692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272127.15984799858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144.03800000000001</v>
      </c>
      <c r="L98" s="143">
        <f>BC50+BC51+BC53+BC40+BC42+BC43+BC45</f>
        <v>-10.082000000000001</v>
      </c>
      <c r="M98" s="144">
        <f t="shared" si="10"/>
        <v>272261.11584799859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71336.990219991174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37.757999999999996</v>
      </c>
      <c r="L99" s="143">
        <f>BB50+BB51+BB53+BB40+BB42+BB43+BB45</f>
        <v>-2.6529999999999996</v>
      </c>
      <c r="M99" s="144">
        <f t="shared" si="10"/>
        <v>71372.09521999117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17387.087599989849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9.2029999999999994</v>
      </c>
      <c r="L104" s="143">
        <f>BD50+BD51+BD53+BD40+BD42+BD43+BD45</f>
        <v>-0.65500000000000003</v>
      </c>
      <c r="M104" s="144">
        <f t="shared" si="10"/>
        <v>17395.635599989851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181309.04110000003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181309.04110000003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608170.86869167932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109.038</v>
      </c>
      <c r="L108" s="98">
        <f t="shared" si="11"/>
        <v>-7.6330000000000009</v>
      </c>
      <c r="M108" s="98">
        <f t="shared" si="11"/>
        <v>608272.27369167935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847101.80877235287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181.79599999999999</v>
      </c>
      <c r="L109" s="98">
        <f t="shared" si="12"/>
        <v>-12.734999999999999</v>
      </c>
      <c r="M109" s="98">
        <f t="shared" si="12"/>
        <v>847270.86977235286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458669.70520343009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9.2029999999999994</v>
      </c>
      <c r="L110" s="98">
        <f t="shared" si="13"/>
        <v>-0.65500000000000003</v>
      </c>
      <c r="M110" s="98">
        <f t="shared" si="13"/>
        <v>458678.2532034301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05'!D55</f>
        <v>369846.32050994516</v>
      </c>
      <c r="E5" s="18">
        <f>'SEP 05'!E55</f>
        <v>19628438.571250122</v>
      </c>
      <c r="F5" s="18">
        <f>'SEP 05'!F55</f>
        <v>10055822.380604381</v>
      </c>
      <c r="G5" s="18">
        <f>'SEP 05'!G55</f>
        <v>0</v>
      </c>
      <c r="H5" s="18">
        <f>'SEP 05'!H55</f>
        <v>0</v>
      </c>
      <c r="I5" s="18">
        <f>'SEP 05'!I55</f>
        <v>75006.769474578337</v>
      </c>
      <c r="J5" s="18">
        <f>'SEP 05'!J55</f>
        <v>0</v>
      </c>
      <c r="K5" s="18">
        <f>'SEP 05'!K55</f>
        <v>125371.16278814297</v>
      </c>
      <c r="L5" s="18">
        <f>'SEP 05'!L55</f>
        <v>251880.67791603442</v>
      </c>
      <c r="M5" s="18">
        <f>'SEP 05'!M55</f>
        <v>162737.98096473265</v>
      </c>
      <c r="N5" s="18">
        <f>'SEP 05'!N55</f>
        <v>120822.5199999999</v>
      </c>
      <c r="O5" s="18">
        <f>'SEP 05'!O55</f>
        <v>485514.42259319959</v>
      </c>
      <c r="P5" s="18">
        <f>'SEP 05'!P55</f>
        <v>1032036.4234668666</v>
      </c>
      <c r="Q5" s="18">
        <f>'SEP 05'!Q55</f>
        <v>4090694.4109474886</v>
      </c>
      <c r="R5" s="18">
        <f>'SEP 05'!R55</f>
        <v>6116753.5945099993</v>
      </c>
      <c r="S5" s="18">
        <f>'SEP 05'!S55</f>
        <v>24572501.861983724</v>
      </c>
      <c r="T5" s="18">
        <f>'SEP 05'!T55</f>
        <v>56675.350000000006</v>
      </c>
      <c r="U5" s="18">
        <f>'SEP 05'!U55</f>
        <v>227744.79319349999</v>
      </c>
      <c r="V5" s="18">
        <f>'SEP 05'!V55</f>
        <v>33526884.669999994</v>
      </c>
      <c r="W5" s="18">
        <f>'SEP 05'!W55</f>
        <v>134790243.30465597</v>
      </c>
      <c r="X5" s="18">
        <f>'SEP 05'!X55</f>
        <v>2405642.2999999998</v>
      </c>
      <c r="Y5" s="18">
        <f>'SEP 05'!Y55</f>
        <v>9665387.0747429989</v>
      </c>
      <c r="Z5" s="18">
        <f>'SEP 05'!Z55</f>
        <v>9662.5274983807467</v>
      </c>
      <c r="AA5" s="18">
        <f>'SEP 05'!AA55</f>
        <v>38827.997124768175</v>
      </c>
      <c r="AB5" s="18">
        <f>'SEP 05'!AB55</f>
        <v>7542.7499999967404</v>
      </c>
      <c r="AC5" s="18">
        <f>'SEP 05'!AC55</f>
        <v>30309.862027486903</v>
      </c>
      <c r="AD5" s="18">
        <f>'SEP 05'!AD55</f>
        <v>5155</v>
      </c>
      <c r="AE5" s="18">
        <f>'SEP 05'!AE55</f>
        <v>20714.903549999999</v>
      </c>
      <c r="AF5" s="18">
        <f>'SEP 05'!AF55</f>
        <v>7956.8699999451637</v>
      </c>
      <c r="AG5" s="18">
        <f>'SEP 05'!AG55</f>
        <v>31973.965976479645</v>
      </c>
      <c r="AH5" s="18">
        <f>'SEP 05'!AH55</f>
        <v>282242.31999999727</v>
      </c>
      <c r="AI5" s="18">
        <f>'SEP 05'!AI55</f>
        <v>1134165.3611111888</v>
      </c>
      <c r="AJ5" s="18">
        <f>'SEP 05'!AJ55</f>
        <v>675895.70999999822</v>
      </c>
      <c r="AK5" s="18">
        <f>'SEP 05'!AK55</f>
        <v>2716026.0800210927</v>
      </c>
      <c r="AL5" s="18">
        <f>'SEP 05'!AL55</f>
        <v>26091821.365355242</v>
      </c>
      <c r="AM5" s="18">
        <f>'SEP 05'!AM55</f>
        <v>97285252.958415344</v>
      </c>
      <c r="AN5" s="18">
        <f>'SEP 05'!AN55</f>
        <v>4854042.0190500002</v>
      </c>
      <c r="AO5" s="18">
        <f>'SEP 05'!AO55</f>
        <v>843728.85983144003</v>
      </c>
      <c r="AP5" s="18">
        <f>'SEP 05'!AP55</f>
        <v>12459349.124950144</v>
      </c>
      <c r="AQ5" s="18">
        <f>'SEP 05'!AQ55</f>
        <v>779490.25570216379</v>
      </c>
      <c r="AR5" s="18">
        <f>'SEP 05'!AR55</f>
        <v>33467.106463993005</v>
      </c>
      <c r="AS5" s="18">
        <f>'SEP 05'!AS55</f>
        <v>6.3419079996137473</v>
      </c>
      <c r="AT5" s="18">
        <f>'SEP 05'!AT55</f>
        <v>11.326432002509915</v>
      </c>
      <c r="AU5" s="18">
        <f>'SEP 05'!AU55</f>
        <v>70852.565203997277</v>
      </c>
      <c r="AV5" s="18">
        <f>'SEP 05'!AV55</f>
        <v>529097.77060280275</v>
      </c>
      <c r="AW5" s="18">
        <f>'SEP 05'!AW55</f>
        <v>87470.533549996806</v>
      </c>
      <c r="AX5" s="18">
        <f>'SEP 05'!AX55</f>
        <v>1064.5961240010877</v>
      </c>
      <c r="AY5" s="18">
        <f>'SEP 05'!AY55</f>
        <v>181309.04110000003</v>
      </c>
      <c r="AZ5" s="18">
        <f>'SEP 05'!AZ55</f>
        <v>23756.924137323233</v>
      </c>
      <c r="BA5" s="18">
        <f>'SEP 05'!BA55</f>
        <v>206102.47572400692</v>
      </c>
      <c r="BB5" s="18">
        <f>'SEP 05'!BB55</f>
        <v>71372.09521999117</v>
      </c>
      <c r="BC5" s="18">
        <f>'SEP 05'!BC55</f>
        <v>272261.11584799859</v>
      </c>
      <c r="BD5" s="18">
        <f>'SEP 05'!BD55</f>
        <v>17395.635599989848</v>
      </c>
      <c r="BE5" s="18">
        <f>'SEP 05'!BE55</f>
        <v>256626.99715368054</v>
      </c>
      <c r="BF5" s="18">
        <f>'SEP 05'!BF55</f>
        <v>294827.49323035986</v>
      </c>
      <c r="BG5" s="18">
        <f>'SEP 05'!BG55</f>
        <v>35110.408018882757</v>
      </c>
      <c r="BH5" s="18">
        <f>'SEP 05'!BH55</f>
        <v>24605.160800002101</v>
      </c>
      <c r="BI5" s="18">
        <f>'SEP 05'!BI55</f>
        <v>207727.90101</v>
      </c>
      <c r="BJ5" s="18">
        <f>'SEP 05'!BJ55</f>
        <v>154010.6032805602</v>
      </c>
      <c r="BK5" s="18">
        <f>'SEP 05'!BK55</f>
        <v>20838889.591378011</v>
      </c>
      <c r="BL5" s="18">
        <f>'SEP 05'!BL55</f>
        <v>115091.71790244608</v>
      </c>
      <c r="BM5" s="18">
        <f>'SEP 05'!BM55</f>
        <v>1091112.2466671637</v>
      </c>
      <c r="BN5" s="18">
        <f>'SEP 05'!BN55</f>
        <v>1243168.879277382</v>
      </c>
      <c r="BO5" s="18">
        <f>'SEP 05'!BO55</f>
        <v>3.4691202304202307E-3</v>
      </c>
      <c r="BP5" s="18">
        <f>'SEP 05'!BP55</f>
        <v>260.93967932906543</v>
      </c>
      <c r="BQ5" s="18">
        <f>'SEP 05'!BQ55</f>
        <v>4.0128798844989433E-3</v>
      </c>
      <c r="BR5" s="18">
        <f>'SEP 05'!BR55</f>
        <v>358178.96600000339</v>
      </c>
      <c r="BS5" s="18">
        <f>'SEP 05'!BS55</f>
        <v>1439553.5139906891</v>
      </c>
      <c r="BT5" s="18">
        <f>'SEP 05'!BT55</f>
        <v>91208.124932018109</v>
      </c>
      <c r="BU5" s="18">
        <f>'SEP 05'!BU55</f>
        <v>341350.50996538624</v>
      </c>
      <c r="BV5" s="18">
        <f>'SEP 05'!BV55</f>
        <v>9298.8778600000005</v>
      </c>
      <c r="BW5" s="18">
        <f>'SEP 05'!BW55</f>
        <v>193706.51300000001</v>
      </c>
      <c r="BX5" s="18">
        <f>'SEP 05'!BX55</f>
        <v>22663.665000000001</v>
      </c>
      <c r="BY5" s="18">
        <f>'SEP 05'!BY55</f>
        <v>847957.55794000055</v>
      </c>
      <c r="BZ5" s="18">
        <f>'SEP 05'!BZ55</f>
        <v>196749.73813999072</v>
      </c>
      <c r="CA5" s="18">
        <f>'SEP 05'!CA55</f>
        <v>5039378.653559993</v>
      </c>
      <c r="CB5" s="18">
        <f>'SEP 05'!CB55</f>
        <v>19818.565999999999</v>
      </c>
      <c r="CC5" s="18">
        <f>'SEP 05'!CC55</f>
        <v>1103538.253</v>
      </c>
      <c r="CD5" s="18">
        <f>'SEP 05'!CD55</f>
        <v>0</v>
      </c>
      <c r="CE5" s="18">
        <f>'SEP 05'!CE55</f>
        <v>27397.371999999992</v>
      </c>
      <c r="CF5" s="18">
        <f>'SEP 05'!CF55</f>
        <v>1203776.0190000001</v>
      </c>
      <c r="CG5" s="18">
        <f>'SEP 05'!CG55</f>
        <v>442166.6765</v>
      </c>
      <c r="CH5" s="18">
        <f>'SEP 05'!CH55</f>
        <v>2.9318200000000001</v>
      </c>
      <c r="CI5" s="18">
        <f>'SEP 05'!CI55</f>
        <v>846296.9056099992</v>
      </c>
      <c r="CJ5" s="18">
        <f>'SEP 05'!CJ55</f>
        <v>498344.91103999974</v>
      </c>
      <c r="CK5" s="18">
        <f>'SEP 05'!CK55</f>
        <v>0</v>
      </c>
      <c r="CL5" s="18">
        <f>'SEP 05'!CL55</f>
        <v>0</v>
      </c>
      <c r="CM5" s="18">
        <f>'SEP 05'!CM55</f>
        <v>79545.207070000004</v>
      </c>
      <c r="CN5" s="18">
        <f>'SEP 05'!CN55</f>
        <v>647657.33605000004</v>
      </c>
      <c r="CO5" s="18">
        <f>'SEP 05'!CO55</f>
        <v>736464.8368199995</v>
      </c>
      <c r="CP5" s="18">
        <f>'SEP 05'!CP55</f>
        <v>9152723.6727600005</v>
      </c>
      <c r="CQ5" s="18">
        <f>'SEP 05'!CQ55</f>
        <v>377715.39094000001</v>
      </c>
      <c r="CR5" s="18">
        <f>'SEP 05'!CR55</f>
        <v>903266.84160000039</v>
      </c>
      <c r="CS5" s="18">
        <f>'SEP 05'!CS55</f>
        <v>5013.4199999999992</v>
      </c>
      <c r="CT5" s="18">
        <f>'SEP 05'!CT55</f>
        <v>20149.387893799994</v>
      </c>
      <c r="CU5" s="18">
        <f>'SEP 05'!CU55</f>
        <v>5013.4199999999992</v>
      </c>
      <c r="CV5" s="18">
        <f>'SEP 05'!CV55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400712164.68398768</v>
      </c>
    </row>
    <row r="6" spans="1:101" s="20" customFormat="1" x14ac:dyDescent="0.3">
      <c r="A6" s="173"/>
      <c r="B6" s="19"/>
      <c r="C6" s="19" t="s">
        <v>91</v>
      </c>
      <c r="D6" s="19">
        <v>-23537.647549999998</v>
      </c>
      <c r="E6" s="19">
        <v>9956631.1193699986</v>
      </c>
      <c r="F6" s="19">
        <v>-1405157.6351800018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243.99199999999837</v>
      </c>
      <c r="BX6" s="19">
        <v>0</v>
      </c>
      <c r="BY6" s="19">
        <v>10718.004190000007</v>
      </c>
      <c r="BZ6" s="19">
        <v>-1009631.52785</v>
      </c>
      <c r="CA6" s="19">
        <v>-2357396.52599</v>
      </c>
      <c r="CB6" s="19">
        <v>0</v>
      </c>
      <c r="CC6" s="19">
        <v>118.86599999992177</v>
      </c>
      <c r="CD6" s="19">
        <v>0</v>
      </c>
      <c r="CE6" s="19">
        <v>0</v>
      </c>
      <c r="CF6" s="19">
        <v>47675.366999999853</v>
      </c>
      <c r="CG6" s="19">
        <v>0</v>
      </c>
      <c r="CH6" s="19">
        <v>0</v>
      </c>
      <c r="CI6" s="19">
        <v>5738.3731200000038</v>
      </c>
      <c r="CJ6" s="19">
        <v>45909.599700000079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346308.67295994516</v>
      </c>
      <c r="E8" s="18">
        <f t="shared" si="0"/>
        <v>29585069.690620121</v>
      </c>
      <c r="F8" s="18">
        <f t="shared" si="0"/>
        <v>8650664.7454243787</v>
      </c>
      <c r="G8" s="18">
        <f t="shared" si="0"/>
        <v>0</v>
      </c>
      <c r="H8" s="18">
        <f t="shared" si="0"/>
        <v>0</v>
      </c>
      <c r="I8" s="18">
        <f t="shared" si="0"/>
        <v>75006.769474578337</v>
      </c>
      <c r="J8" s="18">
        <f t="shared" si="0"/>
        <v>0</v>
      </c>
      <c r="K8" s="18">
        <f t="shared" si="0"/>
        <v>125371.16278814297</v>
      </c>
      <c r="L8" s="18">
        <f t="shared" si="0"/>
        <v>251880.67791603442</v>
      </c>
      <c r="M8" s="18">
        <f t="shared" si="0"/>
        <v>162737.98096473265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1032036.4234668666</v>
      </c>
      <c r="Q8" s="18">
        <f t="shared" si="0"/>
        <v>4090694.4109474886</v>
      </c>
      <c r="R8" s="18">
        <f t="shared" si="0"/>
        <v>6116753.5945099993</v>
      </c>
      <c r="S8" s="18">
        <f t="shared" si="0"/>
        <v>24572501.861983724</v>
      </c>
      <c r="T8" s="18">
        <f t="shared" si="0"/>
        <v>56675.350000000006</v>
      </c>
      <c r="U8" s="18">
        <f t="shared" si="0"/>
        <v>227744.79319349999</v>
      </c>
      <c r="V8" s="18">
        <f t="shared" si="0"/>
        <v>33526884.669999994</v>
      </c>
      <c r="W8" s="18">
        <f t="shared" si="0"/>
        <v>134790243.30465597</v>
      </c>
      <c r="X8" s="18">
        <f t="shared" si="0"/>
        <v>2405642.2999999998</v>
      </c>
      <c r="Y8" s="18">
        <f t="shared" si="0"/>
        <v>9665387.0747429989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26091821.365355242</v>
      </c>
      <c r="AM8" s="18">
        <f t="shared" si="0"/>
        <v>97285252.958415344</v>
      </c>
      <c r="AN8" s="18">
        <f t="shared" si="0"/>
        <v>4854042.0190500002</v>
      </c>
      <c r="AO8" s="18">
        <f t="shared" si="0"/>
        <v>843728.85983144003</v>
      </c>
      <c r="AP8" s="18">
        <f t="shared" si="0"/>
        <v>12459349.124950144</v>
      </c>
      <c r="AQ8" s="18">
        <f t="shared" si="0"/>
        <v>779490.25570216379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181309.04110000003</v>
      </c>
      <c r="AZ8" s="18">
        <f t="shared" si="0"/>
        <v>23756.924137323233</v>
      </c>
      <c r="BA8" s="18">
        <f t="shared" si="0"/>
        <v>206102.47572400692</v>
      </c>
      <c r="BB8" s="18">
        <f t="shared" si="0"/>
        <v>71372.09521999117</v>
      </c>
      <c r="BC8" s="18">
        <f t="shared" si="0"/>
        <v>272261.11584799859</v>
      </c>
      <c r="BD8" s="18">
        <f t="shared" si="0"/>
        <v>17395.635599989848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20838889.591378011</v>
      </c>
      <c r="BL8" s="18">
        <f t="shared" si="0"/>
        <v>115091.71790244608</v>
      </c>
      <c r="BM8" s="18">
        <f t="shared" si="0"/>
        <v>1091112.2466671637</v>
      </c>
      <c r="BN8" s="18">
        <f t="shared" si="0"/>
        <v>1243168.879277382</v>
      </c>
      <c r="BO8" s="18">
        <f t="shared" si="0"/>
        <v>3.4691202304202307E-3</v>
      </c>
      <c r="BP8" s="18">
        <f t="shared" si="0"/>
        <v>260.93967932906543</v>
      </c>
      <c r="BQ8" s="18">
        <f t="shared" si="0"/>
        <v>4.0128798844989433E-3</v>
      </c>
      <c r="BR8" s="18">
        <f t="shared" si="0"/>
        <v>358178.96600000339</v>
      </c>
      <c r="BS8" s="18">
        <f t="shared" si="0"/>
        <v>1439553.5139906891</v>
      </c>
      <c r="BT8" s="18">
        <f t="shared" ref="BT8:CV8" si="1">BT5+BT6+BT7</f>
        <v>91208.124932018109</v>
      </c>
      <c r="BU8" s="18">
        <f t="shared" si="1"/>
        <v>341350.50996538624</v>
      </c>
      <c r="BV8" s="18">
        <f t="shared" si="1"/>
        <v>9298.8778600000005</v>
      </c>
      <c r="BW8" s="18">
        <f t="shared" si="1"/>
        <v>193950.505</v>
      </c>
      <c r="BX8" s="18">
        <f t="shared" si="1"/>
        <v>22663.665000000001</v>
      </c>
      <c r="BY8" s="18">
        <f>+BY5+BY6+BY7:BZ7</f>
        <v>858675.56213000056</v>
      </c>
      <c r="BZ8" s="18">
        <f t="shared" si="1"/>
        <v>-812881.78971000924</v>
      </c>
      <c r="CA8" s="18">
        <f t="shared" si="1"/>
        <v>2681982.127569993</v>
      </c>
      <c r="CB8" s="18">
        <f t="shared" si="1"/>
        <v>19818.565999999999</v>
      </c>
      <c r="CC8" s="18">
        <f t="shared" si="1"/>
        <v>1103657.1189999999</v>
      </c>
      <c r="CD8" s="18">
        <f t="shared" si="1"/>
        <v>0</v>
      </c>
      <c r="CE8" s="18">
        <f t="shared" si="1"/>
        <v>27397.371999999992</v>
      </c>
      <c r="CF8" s="18">
        <f t="shared" si="1"/>
        <v>1251451.3859999999</v>
      </c>
      <c r="CG8" s="18">
        <f t="shared" si="1"/>
        <v>442166.6765</v>
      </c>
      <c r="CH8" s="18">
        <f t="shared" si="1"/>
        <v>2.9318200000000001</v>
      </c>
      <c r="CI8" s="18">
        <f t="shared" si="1"/>
        <v>852035.27872999921</v>
      </c>
      <c r="CJ8" s="18">
        <f t="shared" si="1"/>
        <v>544254.51073999982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903266.84160000039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405983476.66879755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25363+4348112+1941314+254121+924520</f>
        <v>7493430</v>
      </c>
      <c r="M11" s="26">
        <f>24925+11241.5+6278.40182</f>
        <v>42444.901819999999</v>
      </c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7535874.9018200003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>
        <v>1000000</v>
      </c>
      <c r="M12" s="26">
        <v>32926.987000000001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1032926.987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/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0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-66620520.594999999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-66620520.594999999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66023353.718000002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66023353.718000002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>
        <v>12084064.454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12084064.454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110000</v>
      </c>
      <c r="E27" s="29"/>
      <c r="F27" s="29"/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3600000</v>
      </c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3710000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-16346000</v>
      </c>
      <c r="F28" s="26">
        <v>-3976000</v>
      </c>
      <c r="G28" s="26"/>
      <c r="H28" s="26"/>
      <c r="I28" s="26"/>
      <c r="J28" s="26"/>
      <c r="K28" s="26"/>
      <c r="L28" s="27">
        <v>-7800000</v>
      </c>
      <c r="M28" s="26">
        <v>-11300000</v>
      </c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-39422000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>
        <v>384745.16009000002</v>
      </c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384745.16009000002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v>590000</v>
      </c>
      <c r="W35" s="38">
        <f>(V35*3960.94)/1000</f>
        <v>2336954.6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2336954.6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>
        <v>28590</v>
      </c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28590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/>
      <c r="M38" s="39">
        <v>-855680</v>
      </c>
      <c r="N38" s="38"/>
      <c r="O38" s="38"/>
      <c r="P38" s="38">
        <v>-523440.96</v>
      </c>
      <c r="Q38" s="38">
        <f>(P38*3960.94)/1000</f>
        <v>-2073318.2361024001</v>
      </c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-2928998.2361024003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8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f>-3.885-12.9</f>
        <v>-16.785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-2.5449999999999999</v>
      </c>
      <c r="BB50" s="49">
        <f>-0.881-0.3</f>
        <v>-1.181</v>
      </c>
      <c r="BC50" s="49">
        <v>-3.3620000000000001</v>
      </c>
      <c r="BD50" s="49">
        <v>-0.215</v>
      </c>
      <c r="BE50" s="49"/>
      <c r="BF50" s="49"/>
      <c r="BG50" s="49"/>
      <c r="BH50" s="49"/>
      <c r="BI50" s="49"/>
      <c r="BJ50" s="49"/>
      <c r="BK50" s="49"/>
      <c r="BL50" s="49">
        <v>-4.4710000000000001</v>
      </c>
      <c r="BM50" s="49">
        <f>-56.514-187.67</f>
        <v>-244.184</v>
      </c>
      <c r="BN50" s="49">
        <v>-48.296999999999997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-321.03999999999996</v>
      </c>
    </row>
    <row r="51" spans="1:101" x14ac:dyDescent="0.3">
      <c r="A51" s="164"/>
      <c r="B51" s="46" t="s">
        <v>97</v>
      </c>
      <c r="C51" s="47" t="s">
        <v>138</v>
      </c>
      <c r="D51" s="48">
        <v>-5860.75</v>
      </c>
      <c r="E51" s="48">
        <f>-5860.75-2156.961</f>
        <v>-8017.7109999999993</v>
      </c>
      <c r="F51" s="48">
        <f>-5860.75-245.472</f>
        <v>-6106.2219999999998</v>
      </c>
      <c r="G51" s="49"/>
      <c r="H51" s="49"/>
      <c r="I51" s="49"/>
      <c r="J51" s="49"/>
      <c r="K51" s="48">
        <f>-2997.908-569.603</f>
        <v>-3567.511</v>
      </c>
      <c r="L51" s="48">
        <f>-149.49346-2857.72-542.967+0.01</f>
        <v>-3550.1704599999998</v>
      </c>
      <c r="M51" s="48">
        <f>-178.63081-841.128-159.814</f>
        <v>-1179.5728100000001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-28281.937269999999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55.500210000000003</v>
      </c>
      <c r="J52" s="49"/>
      <c r="K52" s="49"/>
      <c r="L52" s="48"/>
      <c r="M52" s="48"/>
      <c r="N52" s="49"/>
      <c r="O52" s="49"/>
      <c r="P52" s="49"/>
      <c r="Q52" s="49"/>
      <c r="R52" s="49">
        <v>1396.38</v>
      </c>
      <c r="S52" s="49">
        <f>(R52*3960.94)/1000</f>
        <v>5530.9773972000003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36.357999999999997</v>
      </c>
      <c r="BB52" s="49">
        <v>12.9</v>
      </c>
      <c r="BC52" s="49">
        <f>48.028+0.01</f>
        <v>48.037999999999997</v>
      </c>
      <c r="BD52" s="49">
        <f>3.069+0.01</f>
        <v>3.0789999999999997</v>
      </c>
      <c r="BE52" s="49"/>
      <c r="BF52" s="49"/>
      <c r="BG52" s="49"/>
      <c r="BH52" s="49"/>
      <c r="BI52" s="49"/>
      <c r="BJ52" s="49"/>
      <c r="BK52" s="49"/>
      <c r="BL52" s="49">
        <v>63.875900000000001</v>
      </c>
      <c r="BM52" s="49">
        <v>807.35373000000004</v>
      </c>
      <c r="BN52" s="49">
        <v>689.95881999999995</v>
      </c>
      <c r="BO52" s="49"/>
      <c r="BP52" s="49">
        <f>193.06/1000-0.04</f>
        <v>0.15306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7248.1941171999988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(D10+D13+D16+D17+D33+D38+D47+D40+D35)*4/1000</f>
        <v>0</v>
      </c>
      <c r="E53" s="49">
        <f>(E10+E13+E16+E17+E33+E38+E47+E51+E35+E40)*4/1000</f>
        <v>-32.070843999999994</v>
      </c>
      <c r="F53" s="49">
        <f>(F10+F13+F16+F17+F33+F38+F47+F40+F35)*4/1000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-14.270044</v>
      </c>
      <c r="L53" s="48">
        <f>(L10+L13+L17+L33+L38+L40+L51+L36+L49+L16)*4/1000</f>
        <v>-14.20068184</v>
      </c>
      <c r="M53" s="48">
        <f>(M10+M13+M17+M33+M38+M40+M51+M36+M49+M16)*4/1000</f>
        <v>-3427.4382912400001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 t="shared" si="5"/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-3487.9798610800003</v>
      </c>
    </row>
    <row r="54" spans="1:101" x14ac:dyDescent="0.3">
      <c r="C54" s="50" t="s">
        <v>141</v>
      </c>
      <c r="D54" s="51">
        <f t="shared" ref="D54:AM54" si="6">SUM(D9:D53)</f>
        <v>104139.25</v>
      </c>
      <c r="E54" s="51">
        <f t="shared" si="6"/>
        <v>-16354049.781843999</v>
      </c>
      <c r="F54" s="51">
        <f>SUM(F9:F53)</f>
        <v>-3982106.2220000001</v>
      </c>
      <c r="G54" s="51">
        <f t="shared" si="6"/>
        <v>0</v>
      </c>
      <c r="H54" s="51">
        <f t="shared" si="6"/>
        <v>0</v>
      </c>
      <c r="I54" s="51">
        <f t="shared" si="6"/>
        <v>38.715209999999999</v>
      </c>
      <c r="J54" s="51">
        <f t="shared" si="6"/>
        <v>0</v>
      </c>
      <c r="K54" s="51">
        <f t="shared" si="6"/>
        <v>-3581.7810439999998</v>
      </c>
      <c r="L54" s="52">
        <f>SUM(L9:L53)</f>
        <v>477443.91194816341</v>
      </c>
      <c r="M54" s="51">
        <f t="shared" si="6"/>
        <v>27739.331718759902</v>
      </c>
      <c r="N54" s="51">
        <f t="shared" si="6"/>
        <v>0</v>
      </c>
      <c r="O54" s="51">
        <f t="shared" si="6"/>
        <v>0</v>
      </c>
      <c r="P54" s="51">
        <f t="shared" si="6"/>
        <v>-523440.96</v>
      </c>
      <c r="Q54" s="51">
        <f t="shared" si="6"/>
        <v>-2073318.2361024001</v>
      </c>
      <c r="R54" s="51">
        <f t="shared" si="6"/>
        <v>1396.38</v>
      </c>
      <c r="S54" s="51">
        <f t="shared" si="6"/>
        <v>5530.9773972000003</v>
      </c>
      <c r="T54" s="51">
        <f t="shared" si="6"/>
        <v>0</v>
      </c>
      <c r="U54" s="51">
        <f t="shared" si="6"/>
        <v>0</v>
      </c>
      <c r="V54" s="51">
        <f t="shared" si="6"/>
        <v>590000</v>
      </c>
      <c r="W54" s="51">
        <f t="shared" si="6"/>
        <v>2336954.6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33.812999999999995</v>
      </c>
      <c r="BB54" s="51">
        <f t="shared" si="7"/>
        <v>11.719000000000001</v>
      </c>
      <c r="BC54" s="51">
        <f t="shared" si="7"/>
        <v>44.675999999999995</v>
      </c>
      <c r="BD54" s="51">
        <f t="shared" si="7"/>
        <v>2.8639999999999999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59.404899999999998</v>
      </c>
      <c r="BM54" s="51">
        <f t="shared" si="7"/>
        <v>563.16973000000007</v>
      </c>
      <c r="BN54" s="51">
        <f t="shared" si="7"/>
        <v>641.66181999999992</v>
      </c>
      <c r="BO54" s="51">
        <f t="shared" si="7"/>
        <v>0</v>
      </c>
      <c r="BP54" s="51">
        <f t="shared" si="7"/>
        <v>0.15306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3600000</v>
      </c>
      <c r="CA54" s="51">
        <f t="shared" si="7"/>
        <v>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-15859851.773206273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450447.92295994516</v>
      </c>
      <c r="E55" s="56">
        <f t="shared" si="8"/>
        <v>13231019.908776121</v>
      </c>
      <c r="F55" s="56">
        <f>+F8+F54</f>
        <v>4668558.5234243786</v>
      </c>
      <c r="G55" s="56">
        <f t="shared" si="8"/>
        <v>0</v>
      </c>
      <c r="H55" s="56">
        <f t="shared" si="8"/>
        <v>0</v>
      </c>
      <c r="I55" s="56">
        <f t="shared" si="8"/>
        <v>75045.484684578332</v>
      </c>
      <c r="J55" s="56">
        <f t="shared" si="8"/>
        <v>0</v>
      </c>
      <c r="K55" s="56">
        <f t="shared" si="8"/>
        <v>121789.38174414297</v>
      </c>
      <c r="L55" s="56">
        <f t="shared" si="8"/>
        <v>729324.58986419789</v>
      </c>
      <c r="M55" s="56">
        <f t="shared" si="8"/>
        <v>190477.31268349255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508595.46346686658</v>
      </c>
      <c r="Q55" s="56">
        <f t="shared" si="8"/>
        <v>2017376.1748450885</v>
      </c>
      <c r="R55" s="56">
        <f t="shared" si="8"/>
        <v>6118149.9745099992</v>
      </c>
      <c r="S55" s="56">
        <f t="shared" si="8"/>
        <v>24578032.839380924</v>
      </c>
      <c r="T55" s="56">
        <f t="shared" si="8"/>
        <v>56675.350000000006</v>
      </c>
      <c r="U55" s="56">
        <f t="shared" si="8"/>
        <v>227744.79319349999</v>
      </c>
      <c r="V55" s="56">
        <f t="shared" si="8"/>
        <v>34116884.669999994</v>
      </c>
      <c r="W55" s="56">
        <f t="shared" si="8"/>
        <v>137127197.90465596</v>
      </c>
      <c r="X55" s="56">
        <f t="shared" si="8"/>
        <v>2405642.2999999998</v>
      </c>
      <c r="Y55" s="56">
        <f t="shared" si="8"/>
        <v>9665387.0747429989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282242.31999999727</v>
      </c>
      <c r="AI55" s="56">
        <f t="shared" si="8"/>
        <v>1134165.3611111888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26091821.365355242</v>
      </c>
      <c r="AM55" s="56">
        <f t="shared" si="8"/>
        <v>97285252.958415344</v>
      </c>
      <c r="AN55" s="56">
        <f t="shared" si="8"/>
        <v>4854042.0190500002</v>
      </c>
      <c r="AO55" s="56">
        <f t="shared" si="8"/>
        <v>843728.85983144003</v>
      </c>
      <c r="AP55" s="56">
        <f t="shared" si="8"/>
        <v>12459349.124950144</v>
      </c>
      <c r="AQ55" s="56">
        <f t="shared" si="8"/>
        <v>779490.25570216379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181309.04110000003</v>
      </c>
      <c r="AZ55" s="56">
        <f t="shared" si="8"/>
        <v>23756.924137323233</v>
      </c>
      <c r="BA55" s="56">
        <f t="shared" si="8"/>
        <v>206136.28872400691</v>
      </c>
      <c r="BB55" s="56">
        <f t="shared" si="8"/>
        <v>71383.814219991167</v>
      </c>
      <c r="BC55" s="56">
        <f t="shared" si="8"/>
        <v>272305.79184799857</v>
      </c>
      <c r="BD55" s="56">
        <f t="shared" si="8"/>
        <v>17398.499599989849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20838889.591378011</v>
      </c>
      <c r="BL55" s="56">
        <f t="shared" si="8"/>
        <v>115151.12280244607</v>
      </c>
      <c r="BM55" s="56">
        <f t="shared" si="8"/>
        <v>1091675.4163971636</v>
      </c>
      <c r="BN55" s="56">
        <f t="shared" si="8"/>
        <v>1243810.5410973821</v>
      </c>
      <c r="BO55" s="56">
        <f t="shared" si="8"/>
        <v>3.4691202304202307E-3</v>
      </c>
      <c r="BP55" s="56">
        <f t="shared" si="8"/>
        <v>261.09273932906541</v>
      </c>
      <c r="BQ55" s="56">
        <f t="shared" si="8"/>
        <v>4.0128798844989433E-3</v>
      </c>
      <c r="BR55" s="56">
        <f t="shared" si="8"/>
        <v>358178.96600000339</v>
      </c>
      <c r="BS55" s="56">
        <f t="shared" si="8"/>
        <v>1439553.5139906891</v>
      </c>
      <c r="BT55" s="56">
        <f t="shared" ref="BT55:CV55" si="9">+BT8+BT54</f>
        <v>91208.124932018109</v>
      </c>
      <c r="BU55" s="56">
        <f t="shared" si="9"/>
        <v>341350.50996538624</v>
      </c>
      <c r="BV55" s="56">
        <f t="shared" si="9"/>
        <v>9298.8778600000005</v>
      </c>
      <c r="BW55" s="56">
        <f t="shared" si="9"/>
        <v>193950.505</v>
      </c>
      <c r="BX55" s="56">
        <f t="shared" si="9"/>
        <v>22663.665000000001</v>
      </c>
      <c r="BY55" s="56">
        <f t="shared" si="9"/>
        <v>858675.56213000056</v>
      </c>
      <c r="BZ55" s="56">
        <f t="shared" si="9"/>
        <v>2787118.2102899905</v>
      </c>
      <c r="CA55" s="56">
        <f t="shared" si="9"/>
        <v>2681982.127569993</v>
      </c>
      <c r="CB55" s="56">
        <f t="shared" si="9"/>
        <v>19818.565999999999</v>
      </c>
      <c r="CC55" s="56">
        <f t="shared" si="9"/>
        <v>1103657.1189999999</v>
      </c>
      <c r="CD55" s="56">
        <f t="shared" si="9"/>
        <v>0</v>
      </c>
      <c r="CE55" s="56">
        <f t="shared" si="9"/>
        <v>27397.371999999992</v>
      </c>
      <c r="CF55" s="56">
        <f t="shared" si="9"/>
        <v>1251451.3859999999</v>
      </c>
      <c r="CG55" s="56">
        <f t="shared" si="9"/>
        <v>442166.6765</v>
      </c>
      <c r="CH55" s="56">
        <f t="shared" si="9"/>
        <v>2.9318200000000001</v>
      </c>
      <c r="CI55" s="56">
        <f t="shared" si="9"/>
        <v>852035.27872999921</v>
      </c>
      <c r="CJ55" s="56">
        <f t="shared" si="9"/>
        <v>544254.51073999982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903266.84160000039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390123624.89559138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57"/>
      <c r="O57" s="57"/>
      <c r="P57" s="68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73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73"/>
      <c r="Q59" s="73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90799555.220909998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73"/>
      <c r="Q60" s="73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66023353.718000002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7535874.9018200003</v>
      </c>
      <c r="E62" s="67" t="s">
        <v>205</v>
      </c>
      <c r="F62" s="89" t="s">
        <v>153</v>
      </c>
      <c r="G62" s="91">
        <f>P55</f>
        <v>508595.46346686658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3710000</v>
      </c>
      <c r="E63" s="67" t="s">
        <v>205</v>
      </c>
      <c r="F63" s="89" t="s">
        <v>155</v>
      </c>
      <c r="G63" s="91">
        <f>R55</f>
        <v>6118149.9745099992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13116991.441</v>
      </c>
      <c r="E64" s="67" t="s">
        <v>205</v>
      </c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384745.16009000002</v>
      </c>
      <c r="E66" s="101" t="s">
        <v>205</v>
      </c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56675.350000000006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34116884.669999994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28590</v>
      </c>
      <c r="E69" s="101" t="s">
        <v>205</v>
      </c>
      <c r="F69" s="104" t="s">
        <v>8</v>
      </c>
      <c r="G69" s="107">
        <f>X55</f>
        <v>2405642.2999999998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121789381.74414296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-108971518.8311024</v>
      </c>
      <c r="E73" s="71"/>
      <c r="F73" s="114" t="s">
        <v>163</v>
      </c>
      <c r="G73" s="115">
        <f>L55*1000</f>
        <v>729324589.86419785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190477312.68349254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0</v>
      </c>
      <c r="E75" s="67"/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-66620520.594999999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-39422000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-2928998.2361024003</v>
      </c>
      <c r="E81" s="101" t="s">
        <v>205</v>
      </c>
      <c r="F81" s="128" t="s">
        <v>172</v>
      </c>
      <c r="G81" s="126">
        <f>AH55</f>
        <v>282242.31999999727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206102.47572400692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36.357999999999997</v>
      </c>
      <c r="L92" s="143">
        <f>BA50+BA51+BA53+BA40+BA42+BA43+BA45</f>
        <v>-2.5449999999999999</v>
      </c>
      <c r="M92" s="144">
        <f t="shared" si="10"/>
        <v>206136.28872400691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272261.11584799859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48.037999999999997</v>
      </c>
      <c r="L98" s="143">
        <f>BC50+BC51+BC53+BC40+BC42+BC43+BC45</f>
        <v>-3.3620000000000001</v>
      </c>
      <c r="M98" s="144">
        <f t="shared" si="10"/>
        <v>272305.79184799857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71372.09521999117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12.9</v>
      </c>
      <c r="L99" s="143">
        <f>BB50+BB51+BB53+BB40+BB42+BB43+BB45</f>
        <v>-1.181</v>
      </c>
      <c r="M99" s="144">
        <f t="shared" si="10"/>
        <v>71383.814219991167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17395.635599989848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3.0789999999999997</v>
      </c>
      <c r="L104" s="143">
        <f>BD50+BD51+BD53+BD40+BD42+BD43+BD45</f>
        <v>-0.215</v>
      </c>
      <c r="M104" s="144">
        <f t="shared" si="10"/>
        <v>17398.499599989849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181309.04110000003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181309.04110000003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608272.27369167935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36.357999999999997</v>
      </c>
      <c r="L108" s="98">
        <f t="shared" si="11"/>
        <v>-2.5449999999999999</v>
      </c>
      <c r="M108" s="98">
        <f t="shared" si="11"/>
        <v>608306.08669167932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847270.86977235286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60.937999999999995</v>
      </c>
      <c r="L109" s="98">
        <f t="shared" si="12"/>
        <v>-4.5430000000000001</v>
      </c>
      <c r="M109" s="98">
        <f t="shared" si="12"/>
        <v>847327.26477235288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458678.2532034301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3.0789999999999997</v>
      </c>
      <c r="L110" s="98">
        <f t="shared" si="13"/>
        <v>-0.215</v>
      </c>
      <c r="M110" s="98">
        <f t="shared" si="13"/>
        <v>458681.1172034301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  <mergeCell ref="A9:A29"/>
    <mergeCell ref="D1:BK1"/>
    <mergeCell ref="BL1:BN1"/>
    <mergeCell ref="BR1:CJ1"/>
    <mergeCell ref="CW2:CW4"/>
    <mergeCell ref="A5:A8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08'!D55</f>
        <v>450447.92295994516</v>
      </c>
      <c r="E5" s="18">
        <f>'SEP 08'!E55</f>
        <v>13231019.908776121</v>
      </c>
      <c r="F5" s="18">
        <f>'SEP 08'!F55</f>
        <v>4668558.5234243786</v>
      </c>
      <c r="G5" s="18">
        <f>'SEP 08'!G55</f>
        <v>0</v>
      </c>
      <c r="H5" s="18">
        <f>'SEP 08'!H55</f>
        <v>0</v>
      </c>
      <c r="I5" s="18">
        <f>'SEP 08'!I55</f>
        <v>75045.484684578332</v>
      </c>
      <c r="J5" s="18">
        <f>'SEP 08'!J55</f>
        <v>0</v>
      </c>
      <c r="K5" s="18">
        <f>'SEP 08'!K55</f>
        <v>121789.38174414297</v>
      </c>
      <c r="L5" s="18">
        <f>'SEP 08'!L55</f>
        <v>729324.58986419789</v>
      </c>
      <c r="M5" s="18">
        <f>'SEP 08'!M55</f>
        <v>190477.31268349255</v>
      </c>
      <c r="N5" s="18">
        <f>'SEP 08'!N55</f>
        <v>120822.5199999999</v>
      </c>
      <c r="O5" s="18">
        <f>'SEP 08'!O55</f>
        <v>485514.42259319959</v>
      </c>
      <c r="P5" s="18">
        <f>'SEP 08'!P55</f>
        <v>508595.46346686658</v>
      </c>
      <c r="Q5" s="18">
        <f>'SEP 08'!Q55</f>
        <v>2017376.1748450885</v>
      </c>
      <c r="R5" s="18">
        <f>'SEP 08'!R55</f>
        <v>6118149.9745099992</v>
      </c>
      <c r="S5" s="18">
        <f>'SEP 08'!S55</f>
        <v>24578032.839380924</v>
      </c>
      <c r="T5" s="18">
        <f>'SEP 08'!T55</f>
        <v>56675.350000000006</v>
      </c>
      <c r="U5" s="18">
        <f>'SEP 08'!U55</f>
        <v>227744.79319349999</v>
      </c>
      <c r="V5" s="18">
        <f>'SEP 08'!V55</f>
        <v>34116884.669999994</v>
      </c>
      <c r="W5" s="18">
        <f>'SEP 08'!W55</f>
        <v>137127197.90465596</v>
      </c>
      <c r="X5" s="18">
        <f>'SEP 08'!X55</f>
        <v>2405642.2999999998</v>
      </c>
      <c r="Y5" s="18">
        <f>'SEP 08'!Y55</f>
        <v>9665387.0747429989</v>
      </c>
      <c r="Z5" s="18">
        <f>'SEP 08'!Z55</f>
        <v>9662.5274983807467</v>
      </c>
      <c r="AA5" s="18">
        <f>'SEP 08'!AA55</f>
        <v>38827.997124768175</v>
      </c>
      <c r="AB5" s="18">
        <f>'SEP 08'!AB55</f>
        <v>7542.7499999967404</v>
      </c>
      <c r="AC5" s="18">
        <f>'SEP 08'!AC55</f>
        <v>30309.862027486903</v>
      </c>
      <c r="AD5" s="18">
        <f>'SEP 08'!AD55</f>
        <v>5155</v>
      </c>
      <c r="AE5" s="18">
        <f>'SEP 08'!AE55</f>
        <v>20714.903549999999</v>
      </c>
      <c r="AF5" s="18">
        <f>'SEP 08'!AF55</f>
        <v>7956.8699999451637</v>
      </c>
      <c r="AG5" s="18">
        <f>'SEP 08'!AG55</f>
        <v>31973.965976479645</v>
      </c>
      <c r="AH5" s="18">
        <f>'SEP 08'!AH55</f>
        <v>282242.31999999727</v>
      </c>
      <c r="AI5" s="18">
        <f>'SEP 08'!AI55</f>
        <v>1134165.3611111888</v>
      </c>
      <c r="AJ5" s="18">
        <f>'SEP 08'!AJ55</f>
        <v>675895.70999999822</v>
      </c>
      <c r="AK5" s="18">
        <f>'SEP 08'!AK55</f>
        <v>2716026.0800210927</v>
      </c>
      <c r="AL5" s="18">
        <f>'SEP 08'!AL55</f>
        <v>26091821.365355242</v>
      </c>
      <c r="AM5" s="18">
        <f>'SEP 08'!AM55</f>
        <v>97285252.958415344</v>
      </c>
      <c r="AN5" s="18">
        <f>'SEP 08'!AN55</f>
        <v>4854042.0190500002</v>
      </c>
      <c r="AO5" s="18">
        <f>'SEP 08'!AO55</f>
        <v>843728.85983144003</v>
      </c>
      <c r="AP5" s="18">
        <f>'SEP 08'!AP55</f>
        <v>12459349.124950144</v>
      </c>
      <c r="AQ5" s="18">
        <f>'SEP 08'!AQ55</f>
        <v>779490.25570216379</v>
      </c>
      <c r="AR5" s="18">
        <f>'SEP 08'!AR55</f>
        <v>33467.106463993005</v>
      </c>
      <c r="AS5" s="18">
        <f>'SEP 08'!AS55</f>
        <v>6.3419079996137473</v>
      </c>
      <c r="AT5" s="18">
        <f>'SEP 08'!AT55</f>
        <v>11.326432002509915</v>
      </c>
      <c r="AU5" s="18">
        <f>'SEP 08'!AU55</f>
        <v>70852.565203997277</v>
      </c>
      <c r="AV5" s="18">
        <f>'SEP 08'!AV55</f>
        <v>529097.77060280275</v>
      </c>
      <c r="AW5" s="18">
        <f>'SEP 08'!AW55</f>
        <v>87470.533549996806</v>
      </c>
      <c r="AX5" s="18">
        <f>'SEP 08'!AX55</f>
        <v>1064.5961240010877</v>
      </c>
      <c r="AY5" s="18">
        <f>'SEP 08'!AY55</f>
        <v>181309.04110000003</v>
      </c>
      <c r="AZ5" s="18">
        <f>'SEP 08'!AZ55</f>
        <v>23756.924137323233</v>
      </c>
      <c r="BA5" s="18">
        <f>'SEP 08'!BA55</f>
        <v>206136.28872400691</v>
      </c>
      <c r="BB5" s="18">
        <f>'SEP 08'!BB55</f>
        <v>71383.814219991167</v>
      </c>
      <c r="BC5" s="18">
        <f>'SEP 08'!BC55</f>
        <v>272305.79184799857</v>
      </c>
      <c r="BD5" s="18">
        <f>'SEP 08'!BD55</f>
        <v>17398.499599989849</v>
      </c>
      <c r="BE5" s="18">
        <f>'SEP 08'!BE55</f>
        <v>256626.99715368054</v>
      </c>
      <c r="BF5" s="18">
        <f>'SEP 08'!BF55</f>
        <v>294827.49323035986</v>
      </c>
      <c r="BG5" s="18">
        <f>'SEP 08'!BG55</f>
        <v>35110.408018882757</v>
      </c>
      <c r="BH5" s="18">
        <f>'SEP 08'!BH55</f>
        <v>24605.160800002101</v>
      </c>
      <c r="BI5" s="18">
        <f>'SEP 08'!BI55</f>
        <v>207727.90101</v>
      </c>
      <c r="BJ5" s="18">
        <f>'SEP 08'!BJ55</f>
        <v>154010.6032805602</v>
      </c>
      <c r="BK5" s="18">
        <f>'SEP 08'!BK55</f>
        <v>20838889.591378011</v>
      </c>
      <c r="BL5" s="18">
        <f>'SEP 08'!BL55</f>
        <v>115151.12280244607</v>
      </c>
      <c r="BM5" s="18">
        <f>'SEP 08'!BM55</f>
        <v>1091675.4163971636</v>
      </c>
      <c r="BN5" s="18">
        <f>'SEP 08'!BN55</f>
        <v>1243810.5410973821</v>
      </c>
      <c r="BO5" s="18">
        <f>'SEP 08'!BO55</f>
        <v>3.4691202304202307E-3</v>
      </c>
      <c r="BP5" s="18">
        <f>'SEP 08'!BP55</f>
        <v>261.09273932906541</v>
      </c>
      <c r="BQ5" s="18">
        <f>'SEP 08'!BQ55</f>
        <v>4.0128798844989433E-3</v>
      </c>
      <c r="BR5" s="18">
        <f>'SEP 08'!BR55</f>
        <v>358178.96600000339</v>
      </c>
      <c r="BS5" s="18">
        <f>'SEP 08'!BS55</f>
        <v>1439553.5139906891</v>
      </c>
      <c r="BT5" s="18">
        <f>'SEP 08'!BT55</f>
        <v>91208.124932018109</v>
      </c>
      <c r="BU5" s="18">
        <f>'SEP 08'!BU55</f>
        <v>341350.50996538624</v>
      </c>
      <c r="BV5" s="18">
        <f>'SEP 08'!BV55</f>
        <v>9298.8778600000005</v>
      </c>
      <c r="BW5" s="18">
        <f>'SEP 08'!BW55</f>
        <v>193950.505</v>
      </c>
      <c r="BX5" s="18">
        <f>'SEP 08'!BX55</f>
        <v>22663.665000000001</v>
      </c>
      <c r="BY5" s="18">
        <f>'SEP 08'!BY55</f>
        <v>858675.56213000056</v>
      </c>
      <c r="BZ5" s="18">
        <f>'SEP 08'!BZ55</f>
        <v>2787118.2102899905</v>
      </c>
      <c r="CA5" s="18">
        <f>'SEP 08'!CA55</f>
        <v>2681982.127569993</v>
      </c>
      <c r="CB5" s="18">
        <f>'SEP 08'!CB55</f>
        <v>19818.565999999999</v>
      </c>
      <c r="CC5" s="18">
        <f>'SEP 08'!CC55</f>
        <v>1103657.1189999999</v>
      </c>
      <c r="CD5" s="18">
        <f>'SEP 08'!CD55</f>
        <v>0</v>
      </c>
      <c r="CE5" s="18">
        <f>'SEP 08'!CE55</f>
        <v>27397.371999999992</v>
      </c>
      <c r="CF5" s="18">
        <f>'SEP 08'!CF55</f>
        <v>1251451.3859999999</v>
      </c>
      <c r="CG5" s="18">
        <f>'SEP 08'!CG55</f>
        <v>442166.6765</v>
      </c>
      <c r="CH5" s="18">
        <f>'SEP 08'!CH55</f>
        <v>2.9318200000000001</v>
      </c>
      <c r="CI5" s="18">
        <f>'SEP 08'!CI55</f>
        <v>852035.27872999921</v>
      </c>
      <c r="CJ5" s="18">
        <f>'SEP 08'!CJ55</f>
        <v>544254.51073999982</v>
      </c>
      <c r="CK5" s="18">
        <f>'SEP 08'!CK55</f>
        <v>0</v>
      </c>
      <c r="CL5" s="18">
        <f>'SEP 08'!CL55</f>
        <v>0</v>
      </c>
      <c r="CM5" s="18">
        <f>'SEP 08'!CM55</f>
        <v>79545.207070000004</v>
      </c>
      <c r="CN5" s="18">
        <f>'SEP 08'!CN55</f>
        <v>647657.33605000004</v>
      </c>
      <c r="CO5" s="18">
        <f>'SEP 08'!CO55</f>
        <v>736464.8368199995</v>
      </c>
      <c r="CP5" s="18">
        <f>'SEP 08'!CP55</f>
        <v>9152723.6727600005</v>
      </c>
      <c r="CQ5" s="18">
        <f>'SEP 08'!CQ55</f>
        <v>377715.39094000001</v>
      </c>
      <c r="CR5" s="18">
        <f>'SEP 08'!CR55</f>
        <v>903266.84160000039</v>
      </c>
      <c r="CS5" s="18">
        <f>'SEP 08'!CS55</f>
        <v>5013.4199999999992</v>
      </c>
      <c r="CT5" s="18">
        <f>'SEP 08'!CT55</f>
        <v>20149.387893799994</v>
      </c>
      <c r="CU5" s="18">
        <f>'SEP 08'!CU55</f>
        <v>5013.4199999999992</v>
      </c>
      <c r="CV5" s="18">
        <f>'SEP 08'!CV55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390123624.89559138</v>
      </c>
    </row>
    <row r="6" spans="1:101" s="20" customFormat="1" x14ac:dyDescent="0.3">
      <c r="A6" s="173"/>
      <c r="B6" s="19"/>
      <c r="C6" s="19" t="s">
        <v>91</v>
      </c>
      <c r="D6" s="19">
        <v>-15636.932049999999</v>
      </c>
      <c r="E6" s="19">
        <v>4497435.1324499995</v>
      </c>
      <c r="F6" s="19">
        <v>3685048.4562200001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3047.734999999986</v>
      </c>
      <c r="BX6" s="19">
        <v>0</v>
      </c>
      <c r="BY6" s="19">
        <v>-33609.740190000048</v>
      </c>
      <c r="BZ6" s="19">
        <v>-3073013.1951499996</v>
      </c>
      <c r="CA6" s="19">
        <v>-990002.75601000059</v>
      </c>
      <c r="CB6" s="19">
        <v>0</v>
      </c>
      <c r="CC6" s="19">
        <v>0</v>
      </c>
      <c r="CD6" s="19">
        <v>0</v>
      </c>
      <c r="CE6" s="19">
        <v>-2.2700000000004366</v>
      </c>
      <c r="CF6" s="19">
        <v>51921.466999999946</v>
      </c>
      <c r="CG6" s="19">
        <v>1063.689000000013</v>
      </c>
      <c r="CH6" s="19">
        <v>0</v>
      </c>
      <c r="CI6" s="19">
        <v>1262.7317099999636</v>
      </c>
      <c r="CJ6" s="19">
        <v>37492.898300000001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434810.99090994516</v>
      </c>
      <c r="E8" s="18">
        <f t="shared" si="0"/>
        <v>17728455.041226119</v>
      </c>
      <c r="F8" s="18">
        <f t="shared" si="0"/>
        <v>8353606.9796443786</v>
      </c>
      <c r="G8" s="18">
        <f t="shared" si="0"/>
        <v>0</v>
      </c>
      <c r="H8" s="18">
        <f t="shared" si="0"/>
        <v>0</v>
      </c>
      <c r="I8" s="18">
        <f t="shared" si="0"/>
        <v>75045.484684578332</v>
      </c>
      <c r="J8" s="18">
        <f t="shared" si="0"/>
        <v>0</v>
      </c>
      <c r="K8" s="18">
        <f t="shared" si="0"/>
        <v>121789.38174414297</v>
      </c>
      <c r="L8" s="18">
        <f t="shared" si="0"/>
        <v>729324.58986419789</v>
      </c>
      <c r="M8" s="18">
        <f t="shared" si="0"/>
        <v>190477.31268349255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508595.46346686658</v>
      </c>
      <c r="Q8" s="18">
        <f t="shared" si="0"/>
        <v>2017376.1748450885</v>
      </c>
      <c r="R8" s="18">
        <f t="shared" si="0"/>
        <v>6118149.9745099992</v>
      </c>
      <c r="S8" s="18">
        <f t="shared" si="0"/>
        <v>24578032.839380924</v>
      </c>
      <c r="T8" s="18">
        <f t="shared" si="0"/>
        <v>56675.350000000006</v>
      </c>
      <c r="U8" s="18">
        <f t="shared" si="0"/>
        <v>227744.79319349999</v>
      </c>
      <c r="V8" s="18">
        <f t="shared" si="0"/>
        <v>34116884.669999994</v>
      </c>
      <c r="W8" s="18">
        <f t="shared" si="0"/>
        <v>137127197.90465596</v>
      </c>
      <c r="X8" s="18">
        <f t="shared" si="0"/>
        <v>2405642.2999999998</v>
      </c>
      <c r="Y8" s="18">
        <f t="shared" si="0"/>
        <v>9665387.0747429989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26091821.365355242</v>
      </c>
      <c r="AM8" s="18">
        <f t="shared" si="0"/>
        <v>97285252.958415344</v>
      </c>
      <c r="AN8" s="18">
        <f t="shared" si="0"/>
        <v>4854042.0190500002</v>
      </c>
      <c r="AO8" s="18">
        <f t="shared" si="0"/>
        <v>843728.85983144003</v>
      </c>
      <c r="AP8" s="18">
        <f t="shared" si="0"/>
        <v>12459349.124950144</v>
      </c>
      <c r="AQ8" s="18">
        <f t="shared" si="0"/>
        <v>779490.25570216379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181309.04110000003</v>
      </c>
      <c r="AZ8" s="18">
        <f t="shared" si="0"/>
        <v>23756.924137323233</v>
      </c>
      <c r="BA8" s="18">
        <f t="shared" si="0"/>
        <v>206136.28872400691</v>
      </c>
      <c r="BB8" s="18">
        <f t="shared" si="0"/>
        <v>71383.814219991167</v>
      </c>
      <c r="BC8" s="18">
        <f t="shared" si="0"/>
        <v>272305.79184799857</v>
      </c>
      <c r="BD8" s="18">
        <f t="shared" si="0"/>
        <v>17398.499599989849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20838889.591378011</v>
      </c>
      <c r="BL8" s="18">
        <f t="shared" si="0"/>
        <v>115151.12280244607</v>
      </c>
      <c r="BM8" s="18">
        <f t="shared" si="0"/>
        <v>1091675.4163971636</v>
      </c>
      <c r="BN8" s="18">
        <f t="shared" si="0"/>
        <v>1243810.5410973821</v>
      </c>
      <c r="BO8" s="18">
        <f t="shared" si="0"/>
        <v>3.4691202304202307E-3</v>
      </c>
      <c r="BP8" s="18">
        <f t="shared" si="0"/>
        <v>261.09273932906541</v>
      </c>
      <c r="BQ8" s="18">
        <f t="shared" si="0"/>
        <v>4.0128798844989433E-3</v>
      </c>
      <c r="BR8" s="18">
        <f t="shared" si="0"/>
        <v>358178.96600000339</v>
      </c>
      <c r="BS8" s="18">
        <f t="shared" si="0"/>
        <v>1439553.5139906891</v>
      </c>
      <c r="BT8" s="18">
        <f t="shared" ref="BT8:CV8" si="1">BT5+BT6+BT7</f>
        <v>91208.124932018109</v>
      </c>
      <c r="BU8" s="18">
        <f t="shared" si="1"/>
        <v>341350.50996538624</v>
      </c>
      <c r="BV8" s="18">
        <f t="shared" si="1"/>
        <v>9298.8778600000005</v>
      </c>
      <c r="BW8" s="18">
        <f t="shared" si="1"/>
        <v>196998.24</v>
      </c>
      <c r="BX8" s="18">
        <f t="shared" si="1"/>
        <v>22663.665000000001</v>
      </c>
      <c r="BY8" s="18">
        <f>+BY5+BY6+BY7:BZ7</f>
        <v>825065.82194000052</v>
      </c>
      <c r="BZ8" s="18">
        <f t="shared" si="1"/>
        <v>-285894.98486000905</v>
      </c>
      <c r="CA8" s="18">
        <f t="shared" si="1"/>
        <v>1691979.3715599924</v>
      </c>
      <c r="CB8" s="18">
        <f t="shared" si="1"/>
        <v>19818.565999999999</v>
      </c>
      <c r="CC8" s="18">
        <f t="shared" si="1"/>
        <v>1103657.1189999999</v>
      </c>
      <c r="CD8" s="18">
        <f t="shared" si="1"/>
        <v>0</v>
      </c>
      <c r="CE8" s="18">
        <f t="shared" si="1"/>
        <v>27395.101999999992</v>
      </c>
      <c r="CF8" s="18">
        <f t="shared" si="1"/>
        <v>1303372.8529999999</v>
      </c>
      <c r="CG8" s="18">
        <f t="shared" si="1"/>
        <v>443230.36550000001</v>
      </c>
      <c r="CH8" s="18">
        <f t="shared" si="1"/>
        <v>2.9318200000000001</v>
      </c>
      <c r="CI8" s="18">
        <f t="shared" si="1"/>
        <v>853298.01043999917</v>
      </c>
      <c r="CJ8" s="18">
        <f t="shared" si="1"/>
        <v>581747.40903999982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903266.84160000039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394288632.11187142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>
        <v>262.15454999999997</v>
      </c>
      <c r="L11" s="27">
        <v>419.44727</v>
      </c>
      <c r="M11" s="26">
        <v>262.15454999999997</v>
      </c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943.75636999999995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>
        <v>41030.16143</v>
      </c>
      <c r="L12" s="27">
        <v>65647.785440000007</v>
      </c>
      <c r="M12" s="26">
        <v>41030.16143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147708.10830000002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>
        <v>-500000</v>
      </c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-500000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/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0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-105785644.961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-105785644.961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>
        <v>1081820</v>
      </c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1081820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98398209.474999994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98398209.474999994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0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21000</v>
      </c>
      <c r="E27" s="29"/>
      <c r="F27" s="29"/>
      <c r="G27" s="26"/>
      <c r="H27" s="26"/>
      <c r="I27" s="26"/>
      <c r="J27" s="26"/>
      <c r="K27" s="26"/>
      <c r="L27" s="27">
        <v>8000000</v>
      </c>
      <c r="M27" s="26">
        <v>400000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>
        <v>4900000</v>
      </c>
      <c r="CB27" s="26"/>
      <c r="CC27" s="26"/>
      <c r="CD27" s="26"/>
      <c r="CE27" s="26"/>
      <c r="CF27" s="26"/>
      <c r="CG27" s="26"/>
      <c r="CH27" s="26"/>
      <c r="CI27" s="26">
        <v>395000</v>
      </c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13716000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-7485000</v>
      </c>
      <c r="F28" s="26">
        <v>-2871000</v>
      </c>
      <c r="G28" s="26"/>
      <c r="H28" s="26"/>
      <c r="I28" s="26"/>
      <c r="J28" s="26"/>
      <c r="K28" s="26"/>
      <c r="L28" s="27"/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-10356000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-330000-1590000-700000</f>
        <v>-2620000</v>
      </c>
      <c r="W35" s="38">
        <f>(V35*3945.29)/1000</f>
        <v>-10336659.800000001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-10336659.800000001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>
        <v>24059.95</v>
      </c>
      <c r="Q37" s="38">
        <f>(P37*3945.29)/1000</f>
        <v>94923.480135499995</v>
      </c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94923.480135499995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f>-1069100-586766.93005</f>
        <v>-1655866.9300500001</v>
      </c>
      <c r="M38" s="39">
        <v>-418560</v>
      </c>
      <c r="N38" s="38"/>
      <c r="O38" s="38"/>
      <c r="P38" s="38">
        <v>-414156.74</v>
      </c>
      <c r="Q38" s="38">
        <f>(P38*3945.29)/1000</f>
        <v>-1633968.4447546001</v>
      </c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-3708395.3748046001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>
        <f>-4570.43629-23428.82823-9145.49925</f>
        <v>-37144.763769999998</v>
      </c>
      <c r="F40" s="44">
        <f>-771825.91065-1499.509-27333.49571</f>
        <v>-800658.91535999998</v>
      </c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4">
        <v>-15133.87479</v>
      </c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-852937.55391999998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>
        <v>-1568000</v>
      </c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>
        <v>400000</v>
      </c>
      <c r="Q43" s="44">
        <v>1568000</v>
      </c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>
        <v>-446065.46023999999</v>
      </c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-446065.46023999999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-0.97199999999999998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-2.5449999999999999</v>
      </c>
      <c r="BB50" s="49">
        <f>-0.881-0.01</f>
        <v>-0.89100000000000001</v>
      </c>
      <c r="BC50" s="49">
        <v>-3.363</v>
      </c>
      <c r="BD50" s="49">
        <v>-0.215</v>
      </c>
      <c r="BE50" s="49"/>
      <c r="BF50" s="49"/>
      <c r="BG50" s="49"/>
      <c r="BH50" s="49"/>
      <c r="BI50" s="49"/>
      <c r="BJ50" s="49"/>
      <c r="BK50" s="49"/>
      <c r="BL50" s="49">
        <v>-1.4910000000000001</v>
      </c>
      <c r="BM50" s="49">
        <v>-14.135</v>
      </c>
      <c r="BN50" s="49">
        <v>-16.105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-39.716999999999999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-718.80399999999997</v>
      </c>
      <c r="F51" s="49">
        <v>-72.765000000000001</v>
      </c>
      <c r="G51" s="49"/>
      <c r="H51" s="49"/>
      <c r="I51" s="49"/>
      <c r="J51" s="49"/>
      <c r="K51" s="48">
        <v>-0.01</v>
      </c>
      <c r="L51" s="48">
        <f>-31.464-0.01</f>
        <v>-31.474</v>
      </c>
      <c r="M51" s="48">
        <f>-8.259-0.01</f>
        <v>-8.2690000000000001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-831.322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13.881019999999999</v>
      </c>
      <c r="J52" s="49"/>
      <c r="K52" s="49"/>
      <c r="L52" s="48"/>
      <c r="M52" s="48"/>
      <c r="N52" s="49"/>
      <c r="O52" s="49"/>
      <c r="P52" s="49"/>
      <c r="Q52" s="49"/>
      <c r="R52" s="49">
        <v>465.57</v>
      </c>
      <c r="S52" s="49">
        <f>(R52*3945.29)/1000</f>
        <v>1836.8086653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36.363999999999997</v>
      </c>
      <c r="BB52" s="49">
        <v>12.592000000000001</v>
      </c>
      <c r="BC52" s="49">
        <v>48.036000000000001</v>
      </c>
      <c r="BD52" s="49">
        <v>3.069</v>
      </c>
      <c r="BE52" s="49"/>
      <c r="BF52" s="49"/>
      <c r="BG52" s="49"/>
      <c r="BH52" s="49"/>
      <c r="BI52" s="49"/>
      <c r="BJ52" s="49"/>
      <c r="BK52" s="49"/>
      <c r="BL52" s="49">
        <v>21.299289999999999</v>
      </c>
      <c r="BM52" s="49">
        <v>201.92526000000001</v>
      </c>
      <c r="BN52" s="49">
        <v>230.06541999999999</v>
      </c>
      <c r="BO52" s="49"/>
      <c r="BP52" s="49">
        <f>48.29/1000</f>
        <v>4.829E-2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2404.0889453000004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-151.45427107999998</v>
      </c>
      <c r="F53" s="49">
        <f>(F10+F13+F16+F17+F33+F38+F47+F35)*4/1000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-4.0000000000000003E-5</v>
      </c>
      <c r="L53" s="48">
        <f>(L10+L13+L17+L33+L38+L40+L51+L36+L49+L16)*4/1000</f>
        <v>-6623.5936161999998</v>
      </c>
      <c r="M53" s="48">
        <f>(M10+M13+M17+M33+M38+M40+M51+M36+M49+M16)*4/1000</f>
        <v>-1674.2730759999999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-60.535499160000001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-1784.26184096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-10294.1183434</v>
      </c>
    </row>
    <row r="54" spans="1:101" x14ac:dyDescent="0.3">
      <c r="C54" s="50" t="s">
        <v>141</v>
      </c>
      <c r="D54" s="51">
        <f t="shared" ref="D54:AM54" si="6">SUM(D9:D53)</f>
        <v>21000</v>
      </c>
      <c r="E54" s="51">
        <f t="shared" si="6"/>
        <v>-9091015.0220410787</v>
      </c>
      <c r="F54" s="51">
        <f>SUM(F9:F53)</f>
        <v>-3671731.6803600001</v>
      </c>
      <c r="G54" s="51">
        <f t="shared" si="6"/>
        <v>0</v>
      </c>
      <c r="H54" s="51">
        <f t="shared" si="6"/>
        <v>0</v>
      </c>
      <c r="I54" s="51">
        <f t="shared" si="6"/>
        <v>12.90902</v>
      </c>
      <c r="J54" s="51">
        <f t="shared" si="6"/>
        <v>0</v>
      </c>
      <c r="K54" s="51">
        <f t="shared" si="6"/>
        <v>41292.305939999998</v>
      </c>
      <c r="L54" s="52">
        <f>SUM(L9:L53)</f>
        <v>-402070.25095619762</v>
      </c>
      <c r="M54" s="51">
        <f t="shared" si="6"/>
        <v>21049.773904000012</v>
      </c>
      <c r="N54" s="51">
        <f t="shared" si="6"/>
        <v>0</v>
      </c>
      <c r="O54" s="51">
        <f t="shared" si="6"/>
        <v>0</v>
      </c>
      <c r="P54" s="51">
        <f t="shared" si="6"/>
        <v>9903.210000000021</v>
      </c>
      <c r="Q54" s="51">
        <f t="shared" si="6"/>
        <v>28955.035380899906</v>
      </c>
      <c r="R54" s="51">
        <f t="shared" si="6"/>
        <v>465.57</v>
      </c>
      <c r="S54" s="51">
        <f t="shared" si="6"/>
        <v>1836.8086653</v>
      </c>
      <c r="T54" s="51">
        <f t="shared" si="6"/>
        <v>0</v>
      </c>
      <c r="U54" s="51">
        <f t="shared" si="6"/>
        <v>0</v>
      </c>
      <c r="V54" s="51">
        <f t="shared" si="6"/>
        <v>-2620000</v>
      </c>
      <c r="W54" s="51">
        <f t="shared" si="6"/>
        <v>-10336659.800000001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-15194.41028916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33.818999999999996</v>
      </c>
      <c r="BB54" s="51">
        <f t="shared" si="7"/>
        <v>11.701000000000001</v>
      </c>
      <c r="BC54" s="51">
        <f t="shared" si="7"/>
        <v>44.673000000000002</v>
      </c>
      <c r="BD54" s="51">
        <f t="shared" si="7"/>
        <v>2.8540000000000001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19.80829</v>
      </c>
      <c r="BM54" s="51">
        <f t="shared" si="7"/>
        <v>187.79026000000002</v>
      </c>
      <c r="BN54" s="51">
        <f t="shared" si="7"/>
        <v>213.96042</v>
      </c>
      <c r="BO54" s="51">
        <f t="shared" si="7"/>
        <v>0</v>
      </c>
      <c r="BP54" s="51">
        <f t="shared" si="7"/>
        <v>4.829E-2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0</v>
      </c>
      <c r="CA54" s="51">
        <f t="shared" si="7"/>
        <v>4900000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-52849.722080959982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-18554859.398557205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455810.99090994516</v>
      </c>
      <c r="E55" s="56">
        <f t="shared" si="8"/>
        <v>8637440.0191850401</v>
      </c>
      <c r="F55" s="56">
        <f>+F8+F54</f>
        <v>4681875.2992843781</v>
      </c>
      <c r="G55" s="56">
        <f t="shared" si="8"/>
        <v>0</v>
      </c>
      <c r="H55" s="56">
        <f t="shared" si="8"/>
        <v>0</v>
      </c>
      <c r="I55" s="56">
        <f t="shared" si="8"/>
        <v>75058.393704578339</v>
      </c>
      <c r="J55" s="56">
        <f t="shared" si="8"/>
        <v>0</v>
      </c>
      <c r="K55" s="56">
        <f t="shared" si="8"/>
        <v>163081.68768414296</v>
      </c>
      <c r="L55" s="56">
        <f t="shared" si="8"/>
        <v>327254.33890800027</v>
      </c>
      <c r="M55" s="56">
        <f t="shared" si="8"/>
        <v>211527.08658749255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518498.6734668666</v>
      </c>
      <c r="Q55" s="56">
        <f t="shared" si="8"/>
        <v>2046331.2102259884</v>
      </c>
      <c r="R55" s="56">
        <f t="shared" si="8"/>
        <v>6118615.5445099995</v>
      </c>
      <c r="S55" s="56">
        <f t="shared" si="8"/>
        <v>24579869.648046225</v>
      </c>
      <c r="T55" s="56">
        <f t="shared" si="8"/>
        <v>56675.350000000006</v>
      </c>
      <c r="U55" s="56">
        <f t="shared" si="8"/>
        <v>227744.79319349999</v>
      </c>
      <c r="V55" s="56">
        <f t="shared" si="8"/>
        <v>31496884.669999994</v>
      </c>
      <c r="W55" s="56">
        <f t="shared" si="8"/>
        <v>126790538.10465597</v>
      </c>
      <c r="X55" s="56">
        <f t="shared" si="8"/>
        <v>2405642.2999999998</v>
      </c>
      <c r="Y55" s="56">
        <f t="shared" si="8"/>
        <v>9665387.0747429989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282242.31999999727</v>
      </c>
      <c r="AI55" s="56">
        <f t="shared" si="8"/>
        <v>1134165.3611111888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26076626.955066081</v>
      </c>
      <c r="AM55" s="56">
        <f t="shared" si="8"/>
        <v>97285252.958415344</v>
      </c>
      <c r="AN55" s="56">
        <f t="shared" si="8"/>
        <v>4854042.0190500002</v>
      </c>
      <c r="AO55" s="56">
        <f t="shared" si="8"/>
        <v>843728.85983144003</v>
      </c>
      <c r="AP55" s="56">
        <f t="shared" si="8"/>
        <v>12459349.124950144</v>
      </c>
      <c r="AQ55" s="56">
        <f t="shared" si="8"/>
        <v>779490.25570216379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181309.04110000003</v>
      </c>
      <c r="AZ55" s="56">
        <f t="shared" si="8"/>
        <v>23756.924137323233</v>
      </c>
      <c r="BA55" s="56">
        <f t="shared" si="8"/>
        <v>206170.1077240069</v>
      </c>
      <c r="BB55" s="56">
        <f t="shared" si="8"/>
        <v>71395.515219991168</v>
      </c>
      <c r="BC55" s="56">
        <f t="shared" si="8"/>
        <v>272350.46484799858</v>
      </c>
      <c r="BD55" s="56">
        <f t="shared" si="8"/>
        <v>17401.353599989849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20838889.591378011</v>
      </c>
      <c r="BL55" s="56">
        <f t="shared" si="8"/>
        <v>115170.93109244607</v>
      </c>
      <c r="BM55" s="56">
        <f t="shared" si="8"/>
        <v>1091863.2066571636</v>
      </c>
      <c r="BN55" s="56">
        <f t="shared" si="8"/>
        <v>1244024.501517382</v>
      </c>
      <c r="BO55" s="56">
        <f t="shared" si="8"/>
        <v>3.4691202304202307E-3</v>
      </c>
      <c r="BP55" s="56">
        <f t="shared" si="8"/>
        <v>261.14102932906542</v>
      </c>
      <c r="BQ55" s="56">
        <f t="shared" si="8"/>
        <v>4.0128798844989433E-3</v>
      </c>
      <c r="BR55" s="56">
        <f t="shared" si="8"/>
        <v>358178.96600000339</v>
      </c>
      <c r="BS55" s="56">
        <f t="shared" si="8"/>
        <v>1439553.5139906891</v>
      </c>
      <c r="BT55" s="56">
        <f t="shared" ref="BT55:CV55" si="9">+BT8+BT54</f>
        <v>91208.124932018109</v>
      </c>
      <c r="BU55" s="56">
        <f t="shared" si="9"/>
        <v>341350.50996538624</v>
      </c>
      <c r="BV55" s="56">
        <f t="shared" si="9"/>
        <v>9298.8778600000005</v>
      </c>
      <c r="BW55" s="56">
        <f t="shared" si="9"/>
        <v>196998.24</v>
      </c>
      <c r="BX55" s="56">
        <f t="shared" si="9"/>
        <v>22663.665000000001</v>
      </c>
      <c r="BY55" s="56">
        <f t="shared" si="9"/>
        <v>825065.82194000052</v>
      </c>
      <c r="BZ55" s="56">
        <f t="shared" si="9"/>
        <v>-285894.98486000905</v>
      </c>
      <c r="CA55" s="56">
        <f t="shared" si="9"/>
        <v>6591979.3715599924</v>
      </c>
      <c r="CB55" s="56">
        <f t="shared" si="9"/>
        <v>19818.565999999999</v>
      </c>
      <c r="CC55" s="56">
        <f t="shared" si="9"/>
        <v>1103657.1189999999</v>
      </c>
      <c r="CD55" s="56">
        <f t="shared" si="9"/>
        <v>0</v>
      </c>
      <c r="CE55" s="56">
        <f t="shared" si="9"/>
        <v>27395.101999999992</v>
      </c>
      <c r="CF55" s="56">
        <f t="shared" si="9"/>
        <v>1303372.8529999999</v>
      </c>
      <c r="CG55" s="56">
        <f t="shared" si="9"/>
        <v>443230.36550000001</v>
      </c>
      <c r="CH55" s="56">
        <f t="shared" si="9"/>
        <v>2.9318200000000001</v>
      </c>
      <c r="CI55" s="56">
        <f t="shared" si="9"/>
        <v>800448.28835903923</v>
      </c>
      <c r="CJ55" s="56">
        <f t="shared" si="9"/>
        <v>581747.40903999982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903266.84160000039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375733772.71331412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57"/>
      <c r="O57" s="57"/>
      <c r="P57" s="68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73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73"/>
      <c r="Q59" s="73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113439604.81980549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73"/>
      <c r="Q60" s="73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98398209.474999994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943.75636999999995</v>
      </c>
      <c r="E62" s="67" t="s">
        <v>205</v>
      </c>
      <c r="F62" s="89" t="s">
        <v>153</v>
      </c>
      <c r="G62" s="91">
        <f>P55</f>
        <v>518498.6734668666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13716000</v>
      </c>
      <c r="E63" s="67" t="s">
        <v>205</v>
      </c>
      <c r="F63" s="89" t="s">
        <v>155</v>
      </c>
      <c r="G63" s="91">
        <f>R55</f>
        <v>6118615.5445099995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147708.10830000002</v>
      </c>
      <c r="E64" s="67"/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1081820</v>
      </c>
      <c r="E65" s="67" t="s">
        <v>205</v>
      </c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56675.350000000006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31496884.669999994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94923.480135499995</v>
      </c>
      <c r="E69" s="101" t="s">
        <v>205</v>
      </c>
      <c r="F69" s="104" t="s">
        <v>8</v>
      </c>
      <c r="G69" s="107">
        <f>X55</f>
        <v>2405642.2999999998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-121202977.8897246</v>
      </c>
      <c r="E73" s="71"/>
      <c r="F73" s="114" t="s">
        <v>163</v>
      </c>
      <c r="G73" s="115">
        <f>L55*1000</f>
        <v>327254338.90800029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211527086.58749256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-500000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-105785644.961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-10356000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-3708395.3748046001</v>
      </c>
      <c r="E81" s="101" t="s">
        <v>205</v>
      </c>
      <c r="F81" s="128" t="s">
        <v>172</v>
      </c>
      <c r="G81" s="126">
        <f>AH55</f>
        <v>282242.31999999727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-852937.55391999998</v>
      </c>
      <c r="E82" s="71" t="s">
        <v>205</v>
      </c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206136.28872400691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36.363999999999997</v>
      </c>
      <c r="L92" s="143">
        <f>BA50+BA51+BA53+BA40+BA42+BA43+BA45</f>
        <v>-2.5449999999999999</v>
      </c>
      <c r="M92" s="144">
        <f t="shared" si="10"/>
        <v>206170.1077240069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272305.79184799857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48.036000000000001</v>
      </c>
      <c r="L98" s="143">
        <f>BC50+BC51+BC53+BC40+BC42+BC43+BC45</f>
        <v>-3.363</v>
      </c>
      <c r="M98" s="144">
        <f t="shared" si="10"/>
        <v>272350.46484799858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71383.814219991167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12.592000000000001</v>
      </c>
      <c r="L99" s="143">
        <f>BB50+BB51+BB53+BB40+BB42+BB43+BB45</f>
        <v>-0.89100000000000001</v>
      </c>
      <c r="M99" s="144">
        <f t="shared" si="10"/>
        <v>71395.515219991168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17398.499599989849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3.069</v>
      </c>
      <c r="L104" s="143">
        <f>BD50+BD51+BD53+BD40+BD42+BD43+BD45</f>
        <v>-0.215</v>
      </c>
      <c r="M104" s="144">
        <f t="shared" si="10"/>
        <v>17401.353599989849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181309.04110000003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181309.04110000003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608306.08669167932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36.363999999999997</v>
      </c>
      <c r="L108" s="98">
        <f t="shared" si="11"/>
        <v>-2.5449999999999999</v>
      </c>
      <c r="M108" s="98">
        <f t="shared" si="11"/>
        <v>608339.90569167933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847327.26477235288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60.628</v>
      </c>
      <c r="L109" s="98">
        <f t="shared" si="12"/>
        <v>-4.2539999999999996</v>
      </c>
      <c r="M109" s="98">
        <f t="shared" si="12"/>
        <v>847383.63877235283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458681.1172034301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3.069</v>
      </c>
      <c r="L110" s="98">
        <f t="shared" si="13"/>
        <v>-0.215</v>
      </c>
      <c r="M110" s="98">
        <f t="shared" si="13"/>
        <v>458683.97120343009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09'!D55</f>
        <v>455810.99090994516</v>
      </c>
      <c r="E5" s="18">
        <f>'SEP 09'!E55</f>
        <v>8637440.0191850401</v>
      </c>
      <c r="F5" s="18">
        <f>'SEP 09'!F55</f>
        <v>4681875.2992843781</v>
      </c>
      <c r="G5" s="18">
        <f>'SEP 09'!G55</f>
        <v>0</v>
      </c>
      <c r="H5" s="18">
        <f>'SEP 09'!H55</f>
        <v>0</v>
      </c>
      <c r="I5" s="18">
        <f>'SEP 09'!I55</f>
        <v>75058.393704578339</v>
      </c>
      <c r="J5" s="18">
        <f>'SEP 09'!J55</f>
        <v>0</v>
      </c>
      <c r="K5" s="18">
        <f>'SEP 09'!K55</f>
        <v>163081.68768414296</v>
      </c>
      <c r="L5" s="18">
        <f>'SEP 09'!L55</f>
        <v>327254.33890800027</v>
      </c>
      <c r="M5" s="18">
        <f>'SEP 09'!M55</f>
        <v>211527.08658749255</v>
      </c>
      <c r="N5" s="18">
        <f>'SEP 09'!N55</f>
        <v>120822.5199999999</v>
      </c>
      <c r="O5" s="18">
        <f>'SEP 09'!O55</f>
        <v>485514.42259319959</v>
      </c>
      <c r="P5" s="18">
        <f>'SEP 09'!P55</f>
        <v>518498.6734668666</v>
      </c>
      <c r="Q5" s="18">
        <f>'SEP 09'!Q55</f>
        <v>2046331.2102259884</v>
      </c>
      <c r="R5" s="18">
        <f>'SEP 09'!R55</f>
        <v>6118615.5445099995</v>
      </c>
      <c r="S5" s="18">
        <f>'SEP 09'!S55</f>
        <v>24579869.648046225</v>
      </c>
      <c r="T5" s="18">
        <f>'SEP 09'!T55</f>
        <v>56675.350000000006</v>
      </c>
      <c r="U5" s="18">
        <f>'SEP 09'!U55</f>
        <v>227744.79319349999</v>
      </c>
      <c r="V5" s="18">
        <f>'SEP 09'!V55</f>
        <v>31496884.669999994</v>
      </c>
      <c r="W5" s="18">
        <f>'SEP 09'!W55</f>
        <v>126790538.10465597</v>
      </c>
      <c r="X5" s="18">
        <f>'SEP 09'!X55</f>
        <v>2405642.2999999998</v>
      </c>
      <c r="Y5" s="18">
        <f>'SEP 09'!Y55</f>
        <v>9665387.0747429989</v>
      </c>
      <c r="Z5" s="18">
        <f>'SEP 09'!Z55</f>
        <v>9662.5274983807467</v>
      </c>
      <c r="AA5" s="18">
        <f>'SEP 09'!AA55</f>
        <v>38827.997124768175</v>
      </c>
      <c r="AB5" s="18">
        <f>'SEP 09'!AB55</f>
        <v>7542.7499999967404</v>
      </c>
      <c r="AC5" s="18">
        <f>'SEP 09'!AC55</f>
        <v>30309.862027486903</v>
      </c>
      <c r="AD5" s="18">
        <f>'SEP 09'!AD55</f>
        <v>5155</v>
      </c>
      <c r="AE5" s="18">
        <f>'SEP 09'!AE55</f>
        <v>20714.903549999999</v>
      </c>
      <c r="AF5" s="18">
        <f>'SEP 09'!AF55</f>
        <v>7956.8699999451637</v>
      </c>
      <c r="AG5" s="18">
        <f>'SEP 09'!AG55</f>
        <v>31973.965976479645</v>
      </c>
      <c r="AH5" s="18">
        <f>'SEP 09'!AH55</f>
        <v>282242.31999999727</v>
      </c>
      <c r="AI5" s="18">
        <f>'SEP 09'!AI55</f>
        <v>1134165.3611111888</v>
      </c>
      <c r="AJ5" s="18">
        <f>'SEP 09'!AJ55</f>
        <v>675895.70999999822</v>
      </c>
      <c r="AK5" s="18">
        <f>'SEP 09'!AK55</f>
        <v>2716026.0800210927</v>
      </c>
      <c r="AL5" s="18">
        <f>'SEP 09'!AL55</f>
        <v>26076626.955066081</v>
      </c>
      <c r="AM5" s="18">
        <f>'SEP 09'!AM55</f>
        <v>97285252.958415344</v>
      </c>
      <c r="AN5" s="18">
        <f>'SEP 09'!AN55</f>
        <v>4854042.0190500002</v>
      </c>
      <c r="AO5" s="18">
        <f>'SEP 09'!AO55</f>
        <v>843728.85983144003</v>
      </c>
      <c r="AP5" s="18">
        <f>'SEP 09'!AP55</f>
        <v>12459349.124950144</v>
      </c>
      <c r="AQ5" s="18">
        <f>'SEP 09'!AQ55</f>
        <v>779490.25570216379</v>
      </c>
      <c r="AR5" s="18">
        <f>'SEP 09'!AR55</f>
        <v>33467.106463993005</v>
      </c>
      <c r="AS5" s="18">
        <f>'SEP 09'!AS55</f>
        <v>6.3419079996137473</v>
      </c>
      <c r="AT5" s="18">
        <f>'SEP 09'!AT55</f>
        <v>11.326432002509915</v>
      </c>
      <c r="AU5" s="18">
        <f>'SEP 09'!AU55</f>
        <v>70852.565203997277</v>
      </c>
      <c r="AV5" s="18">
        <f>'SEP 09'!AV55</f>
        <v>529097.77060280275</v>
      </c>
      <c r="AW5" s="18">
        <f>'SEP 09'!AW55</f>
        <v>87470.533549996806</v>
      </c>
      <c r="AX5" s="18">
        <f>'SEP 09'!AX55</f>
        <v>1064.5961240010877</v>
      </c>
      <c r="AY5" s="18">
        <f>'SEP 09'!AY55</f>
        <v>181309.04110000003</v>
      </c>
      <c r="AZ5" s="18">
        <f>'SEP 09'!AZ55</f>
        <v>23756.924137323233</v>
      </c>
      <c r="BA5" s="18">
        <f>'SEP 09'!BA55</f>
        <v>206170.1077240069</v>
      </c>
      <c r="BB5" s="18">
        <f>'SEP 09'!BB55</f>
        <v>71395.515219991168</v>
      </c>
      <c r="BC5" s="18">
        <f>'SEP 09'!BC55</f>
        <v>272350.46484799858</v>
      </c>
      <c r="BD5" s="18">
        <f>'SEP 09'!BD55</f>
        <v>17401.353599989849</v>
      </c>
      <c r="BE5" s="18">
        <f>'SEP 09'!BE55</f>
        <v>256626.99715368054</v>
      </c>
      <c r="BF5" s="18">
        <f>'SEP 09'!BF55</f>
        <v>294827.49323035986</v>
      </c>
      <c r="BG5" s="18">
        <f>'SEP 09'!BG55</f>
        <v>35110.408018882757</v>
      </c>
      <c r="BH5" s="18">
        <f>'SEP 09'!BH55</f>
        <v>24605.160800002101</v>
      </c>
      <c r="BI5" s="18">
        <f>'SEP 09'!BI55</f>
        <v>207727.90101</v>
      </c>
      <c r="BJ5" s="18">
        <f>'SEP 09'!BJ55</f>
        <v>154010.6032805602</v>
      </c>
      <c r="BK5" s="18">
        <f>'SEP 09'!BK55</f>
        <v>20838889.591378011</v>
      </c>
      <c r="BL5" s="18">
        <f>'SEP 09'!BL55</f>
        <v>115170.93109244607</v>
      </c>
      <c r="BM5" s="18">
        <f>'SEP 09'!BM55</f>
        <v>1091863.2066571636</v>
      </c>
      <c r="BN5" s="18">
        <f>'SEP 09'!BN55</f>
        <v>1244024.501517382</v>
      </c>
      <c r="BO5" s="18">
        <f>'SEP 09'!BO55</f>
        <v>3.4691202304202307E-3</v>
      </c>
      <c r="BP5" s="18">
        <f>'SEP 09'!BP55</f>
        <v>261.14102932906542</v>
      </c>
      <c r="BQ5" s="18">
        <f>'SEP 09'!BQ55</f>
        <v>4.0128798844989433E-3</v>
      </c>
      <c r="BR5" s="18">
        <f>'SEP 09'!BR55</f>
        <v>358178.96600000339</v>
      </c>
      <c r="BS5" s="18">
        <f>'SEP 09'!BS55</f>
        <v>1439553.5139906891</v>
      </c>
      <c r="BT5" s="18">
        <f>'SEP 09'!BT55</f>
        <v>91208.124932018109</v>
      </c>
      <c r="BU5" s="18">
        <f>'SEP 09'!BU55</f>
        <v>341350.50996538624</v>
      </c>
      <c r="BV5" s="18">
        <f>'SEP 09'!BV55</f>
        <v>9298.8778600000005</v>
      </c>
      <c r="BW5" s="18">
        <f>'SEP 09'!BW55</f>
        <v>196998.24</v>
      </c>
      <c r="BX5" s="18">
        <f>'SEP 09'!BX55</f>
        <v>22663.665000000001</v>
      </c>
      <c r="BY5" s="18">
        <f>'SEP 09'!BY55</f>
        <v>825065.82194000052</v>
      </c>
      <c r="BZ5" s="18">
        <f>'SEP 09'!BZ55</f>
        <v>-285894.98486000905</v>
      </c>
      <c r="CA5" s="18">
        <f>'SEP 09'!CA55</f>
        <v>6591979.3715599924</v>
      </c>
      <c r="CB5" s="18">
        <f>'SEP 09'!CB55</f>
        <v>19818.565999999999</v>
      </c>
      <c r="CC5" s="18">
        <f>'SEP 09'!CC55</f>
        <v>1103657.1189999999</v>
      </c>
      <c r="CD5" s="18">
        <f>'SEP 09'!CD55</f>
        <v>0</v>
      </c>
      <c r="CE5" s="18">
        <f>'SEP 09'!CE55</f>
        <v>27395.101999999992</v>
      </c>
      <c r="CF5" s="18">
        <f>'SEP 09'!CF55</f>
        <v>1303372.8529999999</v>
      </c>
      <c r="CG5" s="18">
        <f>'SEP 09'!CG55</f>
        <v>443230.36550000001</v>
      </c>
      <c r="CH5" s="18">
        <f>'SEP 09'!CH55</f>
        <v>2.9318200000000001</v>
      </c>
      <c r="CI5" s="18">
        <f>'SEP 09'!CI55</f>
        <v>800448.28835903923</v>
      </c>
      <c r="CJ5" s="18">
        <f>'SEP 09'!CJ55</f>
        <v>581747.40903999982</v>
      </c>
      <c r="CK5" s="18">
        <f>'SEP 09'!CK55</f>
        <v>0</v>
      </c>
      <c r="CL5" s="18">
        <f>'SEP 09'!CL55</f>
        <v>0</v>
      </c>
      <c r="CM5" s="18">
        <f>'SEP 09'!CM55</f>
        <v>79545.207070000004</v>
      </c>
      <c r="CN5" s="18">
        <f>'SEP 09'!CN55</f>
        <v>647657.33605000004</v>
      </c>
      <c r="CO5" s="18">
        <f>'SEP 09'!CO55</f>
        <v>736464.8368199995</v>
      </c>
      <c r="CP5" s="18">
        <f>'SEP 09'!CP55</f>
        <v>9152723.6727600005</v>
      </c>
      <c r="CQ5" s="18">
        <f>'SEP 09'!CQ55</f>
        <v>377715.39094000001</v>
      </c>
      <c r="CR5" s="18">
        <f>'SEP 09'!CR55</f>
        <v>903266.84160000039</v>
      </c>
      <c r="CS5" s="18">
        <f>'SEP 09'!CS55</f>
        <v>5013.4199999999992</v>
      </c>
      <c r="CT5" s="18">
        <f>'SEP 09'!CT55</f>
        <v>20149.387893799994</v>
      </c>
      <c r="CU5" s="18">
        <f>'SEP 09'!CU55</f>
        <v>5013.4199999999992</v>
      </c>
      <c r="CV5" s="18">
        <f>'SEP 09'!CV55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375733772.71331412</v>
      </c>
    </row>
    <row r="6" spans="1:101" s="20" customFormat="1" x14ac:dyDescent="0.3">
      <c r="A6" s="173"/>
      <c r="B6" s="19"/>
      <c r="C6" s="19" t="s">
        <v>91</v>
      </c>
      <c r="D6" s="19">
        <v>-19413.204300000001</v>
      </c>
      <c r="E6" s="19">
        <v>17373110.633080002</v>
      </c>
      <c r="F6" s="19">
        <v>8994566.0968900006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177705.72</v>
      </c>
      <c r="BS6" s="19">
        <v>696451.81842360005</v>
      </c>
      <c r="BT6" s="19">
        <v>-5203673.03</v>
      </c>
      <c r="BU6" s="19">
        <v>-20393871.082063898</v>
      </c>
      <c r="BV6" s="19">
        <v>0</v>
      </c>
      <c r="BW6" s="19">
        <v>1826.0109999999986</v>
      </c>
      <c r="BX6" s="19">
        <v>0</v>
      </c>
      <c r="BY6" s="19">
        <v>1245.560999999987</v>
      </c>
      <c r="BZ6" s="19">
        <v>-3832464.7290000003</v>
      </c>
      <c r="CA6" s="19">
        <v>-1855844.8189999999</v>
      </c>
      <c r="CB6" s="19">
        <v>0</v>
      </c>
      <c r="CC6" s="19">
        <v>982.63000000012107</v>
      </c>
      <c r="CD6" s="19">
        <v>0</v>
      </c>
      <c r="CE6" s="19">
        <v>0</v>
      </c>
      <c r="CF6" s="19">
        <v>170.60000000009313</v>
      </c>
      <c r="CG6" s="19">
        <v>-1010.9409999999916</v>
      </c>
      <c r="CH6" s="19">
        <v>0</v>
      </c>
      <c r="CI6" s="19">
        <v>7069.1080809599953</v>
      </c>
      <c r="CJ6" s="19">
        <v>-1342.4340000000084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436397.78660994518</v>
      </c>
      <c r="E8" s="18">
        <f t="shared" si="0"/>
        <v>26010550.652265042</v>
      </c>
      <c r="F8" s="18">
        <f t="shared" si="0"/>
        <v>13676441.396174379</v>
      </c>
      <c r="G8" s="18">
        <f t="shared" si="0"/>
        <v>0</v>
      </c>
      <c r="H8" s="18">
        <f t="shared" si="0"/>
        <v>0</v>
      </c>
      <c r="I8" s="18">
        <f t="shared" si="0"/>
        <v>75058.393704578339</v>
      </c>
      <c r="J8" s="18">
        <f t="shared" si="0"/>
        <v>0</v>
      </c>
      <c r="K8" s="18">
        <f t="shared" si="0"/>
        <v>163081.68768414296</v>
      </c>
      <c r="L8" s="18">
        <f t="shared" si="0"/>
        <v>327254.33890800027</v>
      </c>
      <c r="M8" s="18">
        <f t="shared" si="0"/>
        <v>211527.08658749255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518498.6734668666</v>
      </c>
      <c r="Q8" s="18">
        <f t="shared" si="0"/>
        <v>2046331.2102259884</v>
      </c>
      <c r="R8" s="18">
        <f t="shared" si="0"/>
        <v>6118615.5445099995</v>
      </c>
      <c r="S8" s="18">
        <f t="shared" si="0"/>
        <v>24579869.648046225</v>
      </c>
      <c r="T8" s="18">
        <f t="shared" si="0"/>
        <v>56675.350000000006</v>
      </c>
      <c r="U8" s="18">
        <f t="shared" si="0"/>
        <v>227744.79319349999</v>
      </c>
      <c r="V8" s="18">
        <f t="shared" si="0"/>
        <v>31496884.669999994</v>
      </c>
      <c r="W8" s="18">
        <f t="shared" si="0"/>
        <v>126790538.10465597</v>
      </c>
      <c r="X8" s="18">
        <f t="shared" si="0"/>
        <v>2405642.2999999998</v>
      </c>
      <c r="Y8" s="18">
        <f t="shared" si="0"/>
        <v>9665387.0747429989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26076626.955066081</v>
      </c>
      <c r="AM8" s="18">
        <f t="shared" si="0"/>
        <v>97285252.958415344</v>
      </c>
      <c r="AN8" s="18">
        <f t="shared" si="0"/>
        <v>4854042.0190500002</v>
      </c>
      <c r="AO8" s="18">
        <f t="shared" si="0"/>
        <v>843728.85983144003</v>
      </c>
      <c r="AP8" s="18">
        <f t="shared" si="0"/>
        <v>12459349.124950144</v>
      </c>
      <c r="AQ8" s="18">
        <f t="shared" si="0"/>
        <v>779490.25570216379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181309.04110000003</v>
      </c>
      <c r="AZ8" s="18">
        <f t="shared" si="0"/>
        <v>23756.924137323233</v>
      </c>
      <c r="BA8" s="18">
        <f t="shared" si="0"/>
        <v>206170.1077240069</v>
      </c>
      <c r="BB8" s="18">
        <f t="shared" si="0"/>
        <v>71395.515219991168</v>
      </c>
      <c r="BC8" s="18">
        <f t="shared" si="0"/>
        <v>272350.46484799858</v>
      </c>
      <c r="BD8" s="18">
        <f t="shared" si="0"/>
        <v>17401.353599989849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20838889.591378011</v>
      </c>
      <c r="BL8" s="18">
        <f t="shared" si="0"/>
        <v>115170.93109244607</v>
      </c>
      <c r="BM8" s="18">
        <f t="shared" si="0"/>
        <v>1091863.2066571636</v>
      </c>
      <c r="BN8" s="18">
        <f t="shared" si="0"/>
        <v>1244024.501517382</v>
      </c>
      <c r="BO8" s="18">
        <f t="shared" si="0"/>
        <v>3.4691202304202307E-3</v>
      </c>
      <c r="BP8" s="18">
        <f t="shared" si="0"/>
        <v>261.14102932906542</v>
      </c>
      <c r="BQ8" s="18">
        <f t="shared" si="0"/>
        <v>4.0128798844989433E-3</v>
      </c>
      <c r="BR8" s="18">
        <f t="shared" si="0"/>
        <v>535884.68600000336</v>
      </c>
      <c r="BS8" s="18">
        <f t="shared" si="0"/>
        <v>2136005.332414289</v>
      </c>
      <c r="BT8" s="18">
        <f t="shared" ref="BT8:CV8" si="1">BT5+BT6+BT7</f>
        <v>-5112464.9050679822</v>
      </c>
      <c r="BU8" s="18">
        <f t="shared" si="1"/>
        <v>-20052520.572098512</v>
      </c>
      <c r="BV8" s="18">
        <f t="shared" si="1"/>
        <v>9298.8778600000005</v>
      </c>
      <c r="BW8" s="18">
        <f t="shared" si="1"/>
        <v>198824.25099999999</v>
      </c>
      <c r="BX8" s="18">
        <f t="shared" si="1"/>
        <v>22663.665000000001</v>
      </c>
      <c r="BY8" s="18">
        <f>+BY5+BY6+BY7:BZ7</f>
        <v>826311.38294000051</v>
      </c>
      <c r="BZ8" s="18">
        <f t="shared" si="1"/>
        <v>-4118359.7138600093</v>
      </c>
      <c r="CA8" s="18">
        <f t="shared" si="1"/>
        <v>4736134.5525599923</v>
      </c>
      <c r="CB8" s="18">
        <f t="shared" si="1"/>
        <v>19818.565999999999</v>
      </c>
      <c r="CC8" s="18">
        <f t="shared" si="1"/>
        <v>1104639.7490000001</v>
      </c>
      <c r="CD8" s="18">
        <f t="shared" si="1"/>
        <v>0</v>
      </c>
      <c r="CE8" s="18">
        <f t="shared" si="1"/>
        <v>27395.101999999992</v>
      </c>
      <c r="CF8" s="18">
        <f t="shared" si="1"/>
        <v>1303543.453</v>
      </c>
      <c r="CG8" s="18">
        <f t="shared" si="1"/>
        <v>442219.42450000002</v>
      </c>
      <c r="CH8" s="18">
        <f t="shared" si="1"/>
        <v>2.9318200000000001</v>
      </c>
      <c r="CI8" s="18">
        <f t="shared" si="1"/>
        <v>807517.39643999923</v>
      </c>
      <c r="CJ8" s="18">
        <f t="shared" si="1"/>
        <v>580404.97503999982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903266.84160000039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376705247.96242481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336644+69795</f>
        <v>406439</v>
      </c>
      <c r="M11" s="26"/>
      <c r="N11" s="26"/>
      <c r="O11" s="26"/>
      <c r="P11" s="28">
        <v>8400</v>
      </c>
      <c r="Q11" s="26">
        <f>(P11*3919.13)/1000</f>
        <v>32920.692000000003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439359.69199999998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>
        <v>10000000</v>
      </c>
      <c r="Q12" s="26">
        <f>(P12*3919.13)/1000</f>
        <v>39191300</v>
      </c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39191300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>
        <v>-10003000</v>
      </c>
      <c r="N19" s="26"/>
      <c r="O19" s="26"/>
      <c r="P19" s="26">
        <v>-10000000</v>
      </c>
      <c r="Q19" s="26">
        <f>(P19*3919.13)/1000</f>
        <v>-39191300</v>
      </c>
      <c r="R19" s="26">
        <v>-300000</v>
      </c>
      <c r="S19" s="26">
        <f>(R19*3919.13)/1000</f>
        <v>-1175739</v>
      </c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-50370039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/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0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-75589367.598000005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-75589367.598000005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>
        <v>1154255.19</v>
      </c>
      <c r="Q22" s="26">
        <f>(P22*3919.13)/1000</f>
        <v>4523676.1427846998</v>
      </c>
      <c r="R22" s="29">
        <v>4015440.97</v>
      </c>
      <c r="S22" s="26">
        <f>(R22*3919.13)/1000</f>
        <v>15737035.168756101</v>
      </c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20260711.311540801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71591288.363999993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71591288.363999993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0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/>
      <c r="E27" s="29"/>
      <c r="F27" s="29"/>
      <c r="G27" s="26"/>
      <c r="H27" s="26"/>
      <c r="I27" s="26"/>
      <c r="J27" s="26"/>
      <c r="K27" s="26"/>
      <c r="L27" s="27">
        <v>4700000</v>
      </c>
      <c r="M27" s="26">
        <v>10000000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4100000</v>
      </c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18800000</v>
      </c>
    </row>
    <row r="28" spans="1:101" x14ac:dyDescent="0.3">
      <c r="A28" s="166"/>
      <c r="B28" s="24" t="s">
        <v>97</v>
      </c>
      <c r="C28" s="25" t="s">
        <v>115</v>
      </c>
      <c r="D28" s="26">
        <v>-5000</v>
      </c>
      <c r="E28" s="26">
        <v>-7512000</v>
      </c>
      <c r="F28" s="26">
        <v>-6597000</v>
      </c>
      <c r="G28" s="26"/>
      <c r="H28" s="26"/>
      <c r="I28" s="26"/>
      <c r="J28" s="26"/>
      <c r="K28" s="26"/>
      <c r="L28" s="27"/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-14114000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>
        <v>-5200000</v>
      </c>
      <c r="S29" s="26">
        <f>(R29*3919.13)/1000</f>
        <v>-20379476</v>
      </c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>
        <v>5200000</v>
      </c>
      <c r="BU29" s="26">
        <f>(BT29*3919.13)/1000</f>
        <v>20379476</v>
      </c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440000+2890000+2660000</f>
        <v>5990000</v>
      </c>
      <c r="W35" s="38">
        <f>(V35*3919.13)/1000</f>
        <v>23475588.699999999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23475588.699999999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v>-1167650</v>
      </c>
      <c r="M38" s="39"/>
      <c r="N38" s="38"/>
      <c r="O38" s="38"/>
      <c r="P38" s="38">
        <f>-270360.35-4026.94</f>
        <v>-274387.28999999998</v>
      </c>
      <c r="Q38" s="38">
        <f>(P38*3919.13)/1000</f>
        <v>-1075359.4598576999</v>
      </c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-2243009.4598576999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>
        <f>-298.735-298.735-329.833</f>
        <v>-927.30300000000011</v>
      </c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-927.30300000000011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f>-0.972-0.01</f>
        <v>-0.98199999999999998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-2.5459999999999998</v>
      </c>
      <c r="BB50" s="49">
        <v>-0.88200000000000001</v>
      </c>
      <c r="BC50" s="49">
        <f>-3.363-0.01</f>
        <v>-3.3729999999999998</v>
      </c>
      <c r="BD50" s="49">
        <v>-0.215</v>
      </c>
      <c r="BE50" s="49"/>
      <c r="BF50" s="49"/>
      <c r="BG50" s="49"/>
      <c r="BH50" s="49"/>
      <c r="BI50" s="49"/>
      <c r="BJ50" s="49"/>
      <c r="BK50" s="49">
        <v>-731.98299999999995</v>
      </c>
      <c r="BL50" s="49">
        <v>-1.4910000000000001</v>
      </c>
      <c r="BM50" s="49">
        <v>-14.137</v>
      </c>
      <c r="BN50" s="49">
        <v>-16.106999999999999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-771.71599999999989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-713.64099999999996</v>
      </c>
      <c r="F51" s="49">
        <v>-72.765000000000001</v>
      </c>
      <c r="G51" s="49"/>
      <c r="H51" s="49"/>
      <c r="I51" s="49"/>
      <c r="J51" s="49"/>
      <c r="K51" s="48"/>
      <c r="L51" s="48">
        <f>-95.62834+0.01</f>
        <v>-95.618339999999989</v>
      </c>
      <c r="M51" s="48">
        <f>-4.129+0.01</f>
        <v>-4.1189999999999998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-886.14333999999997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13.88341</v>
      </c>
      <c r="J52" s="49"/>
      <c r="K52" s="49"/>
      <c r="L52" s="48"/>
      <c r="M52" s="48"/>
      <c r="N52" s="49"/>
      <c r="O52" s="49"/>
      <c r="P52" s="49"/>
      <c r="Q52" s="49"/>
      <c r="R52" s="49">
        <v>465.6</v>
      </c>
      <c r="S52" s="49">
        <f>(R52*3919.13)/1000</f>
        <v>1824.746928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f>36.37+0.01</f>
        <v>36.379999999999995</v>
      </c>
      <c r="BB52" s="49">
        <f>12.595+0.01</f>
        <v>12.605</v>
      </c>
      <c r="BC52" s="49">
        <v>48.043999999999997</v>
      </c>
      <c r="BD52" s="49">
        <v>3.07</v>
      </c>
      <c r="BE52" s="49"/>
      <c r="BF52" s="49"/>
      <c r="BG52" s="49"/>
      <c r="BH52" s="49"/>
      <c r="BI52" s="49"/>
      <c r="BJ52" s="49"/>
      <c r="BK52" s="49">
        <v>10456.933129999999</v>
      </c>
      <c r="BL52" s="49">
        <v>21.302959999999999</v>
      </c>
      <c r="BM52" s="49">
        <f>201.96+0.01</f>
        <v>201.97</v>
      </c>
      <c r="BN52" s="49">
        <v>230.10499999999999</v>
      </c>
      <c r="BO52" s="49"/>
      <c r="BP52" s="49">
        <f>48.3/1000</f>
        <v>4.8299999999999996E-2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12849.088727999999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-2.8545639999999999</v>
      </c>
      <c r="F53" s="49">
        <f>(F10+F13+F16+F17+F33+F38+F47+F35+F40)*4/1000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-4670.9824733599999</v>
      </c>
      <c r="M53" s="48">
        <f>(M10+M13+M17+M33+M38+M40+M51+M36+M49+M16)*4/1000</f>
        <v>-1.6475999999999998E-2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-3.7092120000000004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-4677.5627253599996</v>
      </c>
    </row>
    <row r="54" spans="1:101" x14ac:dyDescent="0.3">
      <c r="C54" s="50" t="s">
        <v>141</v>
      </c>
      <c r="D54" s="51">
        <f t="shared" ref="D54:AM54" si="6">SUM(D9:D53)</f>
        <v>-5000</v>
      </c>
      <c r="E54" s="51">
        <f t="shared" si="6"/>
        <v>-7512716.4955639997</v>
      </c>
      <c r="F54" s="51">
        <f>SUM(F9:F53)</f>
        <v>-6597072.7649999997</v>
      </c>
      <c r="G54" s="51">
        <f t="shared" si="6"/>
        <v>0</v>
      </c>
      <c r="H54" s="51">
        <f t="shared" si="6"/>
        <v>0</v>
      </c>
      <c r="I54" s="51">
        <f t="shared" si="6"/>
        <v>12.90141</v>
      </c>
      <c r="J54" s="51">
        <f t="shared" si="6"/>
        <v>0</v>
      </c>
      <c r="K54" s="51">
        <f t="shared" si="6"/>
        <v>0</v>
      </c>
      <c r="L54" s="52">
        <f>SUM(L9:L53)</f>
        <v>-64056.834813372276</v>
      </c>
      <c r="M54" s="51">
        <f t="shared" si="6"/>
        <v>-3004.1354759999999</v>
      </c>
      <c r="N54" s="51">
        <f t="shared" si="6"/>
        <v>0</v>
      </c>
      <c r="O54" s="51">
        <f t="shared" si="6"/>
        <v>0</v>
      </c>
      <c r="P54" s="51">
        <f t="shared" si="6"/>
        <v>888267.89999999991</v>
      </c>
      <c r="Q54" s="51">
        <f t="shared" si="6"/>
        <v>3481237.3749270015</v>
      </c>
      <c r="R54" s="51">
        <f t="shared" si="6"/>
        <v>-1484093.4299999997</v>
      </c>
      <c r="S54" s="51">
        <f t="shared" si="6"/>
        <v>-5816355.0843158988</v>
      </c>
      <c r="T54" s="51">
        <f t="shared" si="6"/>
        <v>0</v>
      </c>
      <c r="U54" s="51">
        <f t="shared" si="6"/>
        <v>0</v>
      </c>
      <c r="V54" s="51">
        <f t="shared" si="6"/>
        <v>5990000</v>
      </c>
      <c r="W54" s="51">
        <f t="shared" si="6"/>
        <v>23475588.699999999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-931.01221200000009</v>
      </c>
      <c r="AZ54" s="51">
        <f t="shared" si="7"/>
        <v>0</v>
      </c>
      <c r="BA54" s="51">
        <f t="shared" si="7"/>
        <v>33.833999999999996</v>
      </c>
      <c r="BB54" s="51">
        <f t="shared" si="7"/>
        <v>11.723000000000001</v>
      </c>
      <c r="BC54" s="51">
        <f t="shared" si="7"/>
        <v>44.670999999999999</v>
      </c>
      <c r="BD54" s="51">
        <f t="shared" si="7"/>
        <v>2.855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9724.9501299999993</v>
      </c>
      <c r="BL54" s="51">
        <f t="shared" si="7"/>
        <v>19.811959999999999</v>
      </c>
      <c r="BM54" s="51">
        <f t="shared" si="7"/>
        <v>187.833</v>
      </c>
      <c r="BN54" s="51">
        <f t="shared" si="7"/>
        <v>213.99799999999999</v>
      </c>
      <c r="BO54" s="51">
        <f t="shared" si="7"/>
        <v>0</v>
      </c>
      <c r="BP54" s="51">
        <f t="shared" si="7"/>
        <v>4.8299999999999996E-2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5200000</v>
      </c>
      <c r="BU54" s="51">
        <f t="shared" si="7"/>
        <v>20379476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4100000</v>
      </c>
      <c r="CA54" s="51">
        <f t="shared" si="7"/>
        <v>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31447418.373345733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431397.78660994518</v>
      </c>
      <c r="E55" s="56">
        <f t="shared" si="8"/>
        <v>18497834.156701043</v>
      </c>
      <c r="F55" s="56">
        <f>+F8+F54</f>
        <v>7079368.631174379</v>
      </c>
      <c r="G55" s="56">
        <f t="shared" si="8"/>
        <v>0</v>
      </c>
      <c r="H55" s="56">
        <f t="shared" si="8"/>
        <v>0</v>
      </c>
      <c r="I55" s="56">
        <f t="shared" si="8"/>
        <v>75071.295114578345</v>
      </c>
      <c r="J55" s="56">
        <f t="shared" si="8"/>
        <v>0</v>
      </c>
      <c r="K55" s="56">
        <f t="shared" si="8"/>
        <v>163081.68768414296</v>
      </c>
      <c r="L55" s="56">
        <f t="shared" si="8"/>
        <v>263197.50409462798</v>
      </c>
      <c r="M55" s="56">
        <f t="shared" si="8"/>
        <v>208522.95111149256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1406766.5734668665</v>
      </c>
      <c r="Q55" s="56">
        <f t="shared" si="8"/>
        <v>5527568.5851529902</v>
      </c>
      <c r="R55" s="56">
        <f t="shared" si="8"/>
        <v>4634522.1145099998</v>
      </c>
      <c r="S55" s="56">
        <f t="shared" si="8"/>
        <v>18763514.563730326</v>
      </c>
      <c r="T55" s="56">
        <f t="shared" si="8"/>
        <v>56675.350000000006</v>
      </c>
      <c r="U55" s="56">
        <f t="shared" si="8"/>
        <v>227744.79319349999</v>
      </c>
      <c r="V55" s="56">
        <f t="shared" si="8"/>
        <v>37486884.669999994</v>
      </c>
      <c r="W55" s="56">
        <f t="shared" si="8"/>
        <v>150266126.80465597</v>
      </c>
      <c r="X55" s="56">
        <f t="shared" si="8"/>
        <v>2405642.2999999998</v>
      </c>
      <c r="Y55" s="56">
        <f t="shared" si="8"/>
        <v>9665387.0747429989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282242.31999999727</v>
      </c>
      <c r="AI55" s="56">
        <f t="shared" si="8"/>
        <v>1134165.3611111888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26076626.955066081</v>
      </c>
      <c r="AM55" s="56">
        <f t="shared" si="8"/>
        <v>97285252.958415344</v>
      </c>
      <c r="AN55" s="56">
        <f t="shared" si="8"/>
        <v>4854042.0190500002</v>
      </c>
      <c r="AO55" s="56">
        <f t="shared" si="8"/>
        <v>843728.85983144003</v>
      </c>
      <c r="AP55" s="56">
        <f t="shared" si="8"/>
        <v>12459349.124950144</v>
      </c>
      <c r="AQ55" s="56">
        <f t="shared" si="8"/>
        <v>779490.25570216379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180378.02888800003</v>
      </c>
      <c r="AZ55" s="56">
        <f t="shared" si="8"/>
        <v>23756.924137323233</v>
      </c>
      <c r="BA55" s="56">
        <f t="shared" si="8"/>
        <v>206203.9417240069</v>
      </c>
      <c r="BB55" s="56">
        <f t="shared" si="8"/>
        <v>71407.238219991166</v>
      </c>
      <c r="BC55" s="56">
        <f t="shared" si="8"/>
        <v>272395.13584799855</v>
      </c>
      <c r="BD55" s="56">
        <f t="shared" si="8"/>
        <v>17404.208599989848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20848614.541508012</v>
      </c>
      <c r="BL55" s="56">
        <f t="shared" si="8"/>
        <v>115190.74305244608</v>
      </c>
      <c r="BM55" s="56">
        <f t="shared" si="8"/>
        <v>1092051.0396571637</v>
      </c>
      <c r="BN55" s="56">
        <f t="shared" si="8"/>
        <v>1244238.4995173819</v>
      </c>
      <c r="BO55" s="56">
        <f t="shared" si="8"/>
        <v>3.4691202304202307E-3</v>
      </c>
      <c r="BP55" s="56">
        <f t="shared" si="8"/>
        <v>261.1893293290654</v>
      </c>
      <c r="BQ55" s="56">
        <f t="shared" si="8"/>
        <v>4.0128798844989433E-3</v>
      </c>
      <c r="BR55" s="56">
        <f t="shared" si="8"/>
        <v>535884.68600000336</v>
      </c>
      <c r="BS55" s="56">
        <f t="shared" si="8"/>
        <v>2136005.332414289</v>
      </c>
      <c r="BT55" s="56">
        <f t="shared" ref="BT55:CV55" si="9">+BT8+BT54</f>
        <v>87535.094932017848</v>
      </c>
      <c r="BU55" s="56">
        <f t="shared" si="9"/>
        <v>326955.4279014878</v>
      </c>
      <c r="BV55" s="56">
        <f t="shared" si="9"/>
        <v>9298.8778600000005</v>
      </c>
      <c r="BW55" s="56">
        <f t="shared" si="9"/>
        <v>198824.25099999999</v>
      </c>
      <c r="BX55" s="56">
        <f t="shared" si="9"/>
        <v>22663.665000000001</v>
      </c>
      <c r="BY55" s="56">
        <f t="shared" si="9"/>
        <v>826311.38294000051</v>
      </c>
      <c r="BZ55" s="56">
        <f t="shared" si="9"/>
        <v>-18359.713860009331</v>
      </c>
      <c r="CA55" s="56">
        <f t="shared" si="9"/>
        <v>4736134.5525599923</v>
      </c>
      <c r="CB55" s="56">
        <f t="shared" si="9"/>
        <v>19818.565999999999</v>
      </c>
      <c r="CC55" s="56">
        <f t="shared" si="9"/>
        <v>1104639.7490000001</v>
      </c>
      <c r="CD55" s="56">
        <f t="shared" si="9"/>
        <v>0</v>
      </c>
      <c r="CE55" s="56">
        <f t="shared" si="9"/>
        <v>27395.101999999992</v>
      </c>
      <c r="CF55" s="56">
        <f t="shared" si="9"/>
        <v>1303543.453</v>
      </c>
      <c r="CG55" s="56">
        <f t="shared" si="9"/>
        <v>442219.42450000002</v>
      </c>
      <c r="CH55" s="56">
        <f t="shared" si="9"/>
        <v>2.9318200000000001</v>
      </c>
      <c r="CI55" s="56">
        <f t="shared" si="9"/>
        <v>807517.39643999923</v>
      </c>
      <c r="CJ55" s="56">
        <f t="shared" si="9"/>
        <v>580404.97503999982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903266.84160000039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408152666.33577043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57"/>
      <c r="O57" s="57"/>
      <c r="P57" s="68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73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73"/>
      <c r="Q59" s="73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150282659.36754081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73"/>
      <c r="Q60" s="73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71591288.363999993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439359.69199999998</v>
      </c>
      <c r="E62" s="67" t="s">
        <v>205</v>
      </c>
      <c r="F62" s="89" t="s">
        <v>153</v>
      </c>
      <c r="G62" s="91">
        <f>P55</f>
        <v>1406766.5734668665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156"/>
      <c r="BY62" s="156"/>
      <c r="BZ62" s="67"/>
      <c r="CA62" s="156"/>
      <c r="CB62" s="71"/>
      <c r="CC62" s="71"/>
      <c r="CD62" s="71"/>
      <c r="CE62" s="71"/>
      <c r="CF62" s="71"/>
      <c r="CG62" s="71"/>
      <c r="CH62" s="71"/>
      <c r="CI62" s="71"/>
      <c r="CJ62" s="67"/>
    </row>
    <row r="63" spans="1:101" x14ac:dyDescent="0.3">
      <c r="B63" s="165"/>
      <c r="C63" s="87" t="s">
        <v>154</v>
      </c>
      <c r="D63" s="88">
        <f>CW27+CW25</f>
        <v>18800000</v>
      </c>
      <c r="E63" s="67" t="s">
        <v>205</v>
      </c>
      <c r="F63" s="89" t="s">
        <v>155</v>
      </c>
      <c r="G63" s="91">
        <f>R55</f>
        <v>4634522.1145099998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39191300</v>
      </c>
      <c r="E64" s="67" t="s">
        <v>205</v>
      </c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20260711.311540801</v>
      </c>
      <c r="E65" s="67"/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56675.350000000006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37486884.669999994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2405642.2999999998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-142316416.05785769</v>
      </c>
      <c r="E73" s="71"/>
      <c r="F73" s="114" t="s">
        <v>163</v>
      </c>
      <c r="G73" s="115">
        <f>L55*1000</f>
        <v>263197504.09462798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208522951.11149254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-50370039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-75589367.598000005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-14114000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-2243009.4598576999</v>
      </c>
      <c r="E81" s="101" t="s">
        <v>205</v>
      </c>
      <c r="F81" s="128" t="s">
        <v>172</v>
      </c>
      <c r="G81" s="126">
        <f>AH55</f>
        <v>282242.31999999727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206170.1077240069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36.379999999999995</v>
      </c>
      <c r="L92" s="143">
        <f>BA50+BA51+BA53+BA40+BA42+BA43+BA45</f>
        <v>-2.5459999999999998</v>
      </c>
      <c r="M92" s="144">
        <f t="shared" si="10"/>
        <v>206203.9417240069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272350.46484799858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48.043999999999997</v>
      </c>
      <c r="L98" s="143">
        <f>BC50+BC51+BC53+BC40+BC42+BC43+BC45</f>
        <v>-3.3729999999999998</v>
      </c>
      <c r="M98" s="144">
        <f t="shared" si="10"/>
        <v>272395.13584799855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71395.515219991168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12.605</v>
      </c>
      <c r="L99" s="143">
        <f>BB50+BB51+BB53+BB40+BB42+BB43+BB45</f>
        <v>-0.88200000000000001</v>
      </c>
      <c r="M99" s="144">
        <f t="shared" si="10"/>
        <v>71407.238219991166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-3.7092120000000004</v>
      </c>
      <c r="M101" s="144">
        <f t="shared" si="10"/>
        <v>1060.8869120010877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17401.353599989849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</v>
      </c>
      <c r="L104" s="143">
        <f>BD50+BD51+BD53+BD40+BD42+BD43+BD45</f>
        <v>-0.215</v>
      </c>
      <c r="M104" s="144">
        <f t="shared" si="10"/>
        <v>17404.208599989848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181309.04110000003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-3.7092120000000004</v>
      </c>
      <c r="M106" s="144">
        <f t="shared" si="10"/>
        <v>181305.33188800004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608339.90569167933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36.379999999999995</v>
      </c>
      <c r="L108" s="98">
        <f t="shared" si="11"/>
        <v>-2.5459999999999998</v>
      </c>
      <c r="M108" s="98">
        <f t="shared" si="11"/>
        <v>608373.73969167937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847383.63877235283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60.649000000000001</v>
      </c>
      <c r="L109" s="98">
        <f t="shared" si="12"/>
        <v>-7.9642119999999998</v>
      </c>
      <c r="M109" s="98">
        <f t="shared" si="12"/>
        <v>847436.32356035279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458683.97120343009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3.07</v>
      </c>
      <c r="L110" s="98">
        <f t="shared" si="13"/>
        <v>-3.9242120000000003</v>
      </c>
      <c r="M110" s="98">
        <f t="shared" si="13"/>
        <v>458683.11699143017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  <mergeCell ref="A9:A29"/>
    <mergeCell ref="D1:BK1"/>
    <mergeCell ref="BL1:BN1"/>
    <mergeCell ref="BR1:CJ1"/>
    <mergeCell ref="CW2:CW4"/>
    <mergeCell ref="A5:A8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10'!D55</f>
        <v>431397.78660994518</v>
      </c>
      <c r="E5" s="18">
        <f>'SEP 10'!E55</f>
        <v>18497834.156701043</v>
      </c>
      <c r="F5" s="18">
        <f>'SEP 10'!F55</f>
        <v>7079368.631174379</v>
      </c>
      <c r="G5" s="18">
        <f>'SEP 10'!G55</f>
        <v>0</v>
      </c>
      <c r="H5" s="18">
        <f>'SEP 10'!H55</f>
        <v>0</v>
      </c>
      <c r="I5" s="18">
        <f>'SEP 10'!I55</f>
        <v>75071.295114578345</v>
      </c>
      <c r="J5" s="18">
        <f>'SEP 10'!J55</f>
        <v>0</v>
      </c>
      <c r="K5" s="18">
        <f>'SEP 10'!K55</f>
        <v>163081.68768414296</v>
      </c>
      <c r="L5" s="18">
        <f>'SEP 10'!L55</f>
        <v>263197.50409462798</v>
      </c>
      <c r="M5" s="18">
        <f>'SEP 10'!M55</f>
        <v>208522.95111149256</v>
      </c>
      <c r="N5" s="18">
        <f>'SEP 10'!N55</f>
        <v>120822.5199999999</v>
      </c>
      <c r="O5" s="18">
        <f>'SEP 10'!O55</f>
        <v>485514.42259319959</v>
      </c>
      <c r="P5" s="18">
        <f>'SEP 10'!P55</f>
        <v>1406766.5734668665</v>
      </c>
      <c r="Q5" s="18">
        <f>'SEP 10'!Q55</f>
        <v>5527568.5851529902</v>
      </c>
      <c r="R5" s="18">
        <f>'SEP 10'!R55</f>
        <v>4634522.1145099998</v>
      </c>
      <c r="S5" s="18">
        <f>'SEP 10'!S55</f>
        <v>18763514.563730326</v>
      </c>
      <c r="T5" s="18">
        <f>'SEP 10'!T55</f>
        <v>56675.350000000006</v>
      </c>
      <c r="U5" s="18">
        <f>'SEP 10'!U55</f>
        <v>227744.79319349999</v>
      </c>
      <c r="V5" s="18">
        <f>'SEP 10'!V55</f>
        <v>37486884.669999994</v>
      </c>
      <c r="W5" s="18">
        <f>'SEP 10'!W55</f>
        <v>150266126.80465597</v>
      </c>
      <c r="X5" s="18">
        <f>'SEP 10'!X55</f>
        <v>2405642.2999999998</v>
      </c>
      <c r="Y5" s="18">
        <f>'SEP 10'!Y55</f>
        <v>9665387.0747429989</v>
      </c>
      <c r="Z5" s="18">
        <f>'SEP 10'!Z55</f>
        <v>9662.5274983807467</v>
      </c>
      <c r="AA5" s="18">
        <f>'SEP 10'!AA55</f>
        <v>38827.997124768175</v>
      </c>
      <c r="AB5" s="18">
        <f>'SEP 10'!AB55</f>
        <v>7542.7499999967404</v>
      </c>
      <c r="AC5" s="18">
        <f>'SEP 10'!AC55</f>
        <v>30309.862027486903</v>
      </c>
      <c r="AD5" s="18">
        <f>'SEP 10'!AD55</f>
        <v>5155</v>
      </c>
      <c r="AE5" s="18">
        <f>'SEP 10'!AE55</f>
        <v>20714.903549999999</v>
      </c>
      <c r="AF5" s="18">
        <f>'SEP 10'!AF55</f>
        <v>7956.8699999451637</v>
      </c>
      <c r="AG5" s="18">
        <f>'SEP 10'!AG55</f>
        <v>31973.965976479645</v>
      </c>
      <c r="AH5" s="18">
        <f>'SEP 10'!AH55</f>
        <v>282242.31999999727</v>
      </c>
      <c r="AI5" s="18">
        <f>'SEP 10'!AI55</f>
        <v>1134165.3611111888</v>
      </c>
      <c r="AJ5" s="18">
        <f>'SEP 10'!AJ55</f>
        <v>675895.70999999822</v>
      </c>
      <c r="AK5" s="18">
        <f>'SEP 10'!AK55</f>
        <v>2716026.0800210927</v>
      </c>
      <c r="AL5" s="18">
        <f>'SEP 10'!AL55</f>
        <v>26076626.955066081</v>
      </c>
      <c r="AM5" s="18">
        <f>'SEP 10'!AM55</f>
        <v>97285252.958415344</v>
      </c>
      <c r="AN5" s="18">
        <f>'SEP 10'!AN55</f>
        <v>4854042.0190500002</v>
      </c>
      <c r="AO5" s="18">
        <f>'SEP 10'!AO55</f>
        <v>843728.85983144003</v>
      </c>
      <c r="AP5" s="18">
        <f>'SEP 10'!AP55</f>
        <v>12459349.124950144</v>
      </c>
      <c r="AQ5" s="18">
        <f>'SEP 10'!AQ55</f>
        <v>779490.25570216379</v>
      </c>
      <c r="AR5" s="18">
        <f>'SEP 10'!AR55</f>
        <v>33467.106463993005</v>
      </c>
      <c r="AS5" s="18">
        <f>'SEP 10'!AS55</f>
        <v>6.3419079996137473</v>
      </c>
      <c r="AT5" s="18">
        <f>'SEP 10'!AT55</f>
        <v>11.326432002509915</v>
      </c>
      <c r="AU5" s="18">
        <f>'SEP 10'!AU55</f>
        <v>70852.565203997277</v>
      </c>
      <c r="AV5" s="18">
        <f>'SEP 10'!AV55</f>
        <v>529097.77060280275</v>
      </c>
      <c r="AW5" s="18">
        <f>'SEP 10'!AW55</f>
        <v>87470.533549996806</v>
      </c>
      <c r="AX5" s="18">
        <f>'SEP 10'!AX55</f>
        <v>1064.5961240010877</v>
      </c>
      <c r="AY5" s="18">
        <f>'SEP 10'!AY55</f>
        <v>180378.02888800003</v>
      </c>
      <c r="AZ5" s="18">
        <f>'SEP 10'!AZ55</f>
        <v>23756.924137323233</v>
      </c>
      <c r="BA5" s="18">
        <f>'SEP 10'!BA55</f>
        <v>206203.9417240069</v>
      </c>
      <c r="BB5" s="18">
        <f>'SEP 10'!BB55</f>
        <v>71407.238219991166</v>
      </c>
      <c r="BC5" s="18">
        <f>'SEP 10'!BC55</f>
        <v>272395.13584799855</v>
      </c>
      <c r="BD5" s="18">
        <f>'SEP 10'!BD55</f>
        <v>17404.208599989848</v>
      </c>
      <c r="BE5" s="18">
        <f>'SEP 10'!BE55</f>
        <v>256626.99715368054</v>
      </c>
      <c r="BF5" s="18">
        <f>'SEP 10'!BF55</f>
        <v>294827.49323035986</v>
      </c>
      <c r="BG5" s="18">
        <f>'SEP 10'!BG55</f>
        <v>35110.408018882757</v>
      </c>
      <c r="BH5" s="18">
        <f>'SEP 10'!BH55</f>
        <v>24605.160800002101</v>
      </c>
      <c r="BI5" s="18">
        <f>'SEP 10'!BI55</f>
        <v>207727.90101</v>
      </c>
      <c r="BJ5" s="18">
        <f>'SEP 10'!BJ55</f>
        <v>154010.6032805602</v>
      </c>
      <c r="BK5" s="18">
        <f>'SEP 10'!BK55</f>
        <v>20848614.541508012</v>
      </c>
      <c r="BL5" s="18">
        <f>'SEP 10'!BL55</f>
        <v>115190.74305244608</v>
      </c>
      <c r="BM5" s="18">
        <f>'SEP 10'!BM55</f>
        <v>1092051.0396571637</v>
      </c>
      <c r="BN5" s="18">
        <f>'SEP 10'!BN55</f>
        <v>1244238.4995173819</v>
      </c>
      <c r="BO5" s="18">
        <f>'SEP 10'!BO55</f>
        <v>3.4691202304202307E-3</v>
      </c>
      <c r="BP5" s="18">
        <f>'SEP 10'!BP55</f>
        <v>261.1893293290654</v>
      </c>
      <c r="BQ5" s="18">
        <f>'SEP 10'!BQ55</f>
        <v>4.0128798844989433E-3</v>
      </c>
      <c r="BR5" s="18">
        <f>'SEP 10'!BR55</f>
        <v>535884.68600000336</v>
      </c>
      <c r="BS5" s="18">
        <f>'SEP 10'!BS55</f>
        <v>2136005.332414289</v>
      </c>
      <c r="BT5" s="18">
        <f>'SEP 10'!BT55</f>
        <v>87535.094932017848</v>
      </c>
      <c r="BU5" s="18">
        <f>'SEP 10'!BU55</f>
        <v>326955.4279014878</v>
      </c>
      <c r="BV5" s="18">
        <f>'SEP 10'!BV55</f>
        <v>9298.8778600000005</v>
      </c>
      <c r="BW5" s="18">
        <f>'SEP 10'!BW55</f>
        <v>198824.25099999999</v>
      </c>
      <c r="BX5" s="18">
        <f>'SEP 10'!BX55</f>
        <v>22663.665000000001</v>
      </c>
      <c r="BY5" s="18">
        <f>'SEP 10'!BY55</f>
        <v>826311.38294000051</v>
      </c>
      <c r="BZ5" s="18">
        <f>'SEP 10'!BZ55</f>
        <v>-18359.713860009331</v>
      </c>
      <c r="CA5" s="18">
        <f>'SEP 10'!CA55</f>
        <v>4736134.5525599923</v>
      </c>
      <c r="CB5" s="18">
        <f>'SEP 10'!CB55</f>
        <v>19818.565999999999</v>
      </c>
      <c r="CC5" s="18">
        <f>'SEP 10'!CC55</f>
        <v>1104639.7490000001</v>
      </c>
      <c r="CD5" s="18">
        <f>'SEP 10'!CD55</f>
        <v>0</v>
      </c>
      <c r="CE5" s="18">
        <f>'SEP 10'!CE55</f>
        <v>27395.101999999992</v>
      </c>
      <c r="CF5" s="18">
        <f>'SEP 10'!CF55</f>
        <v>1303543.453</v>
      </c>
      <c r="CG5" s="18">
        <f>'SEP 10'!CG55</f>
        <v>442219.42450000002</v>
      </c>
      <c r="CH5" s="18">
        <f>'SEP 10'!CH55</f>
        <v>2.9318200000000001</v>
      </c>
      <c r="CI5" s="18">
        <f>'SEP 10'!CI55</f>
        <v>807517.39643999923</v>
      </c>
      <c r="CJ5" s="18">
        <f>'SEP 10'!CJ55</f>
        <v>580404.97503999982</v>
      </c>
      <c r="CK5" s="18">
        <f>'SEP 10'!CK55</f>
        <v>0</v>
      </c>
      <c r="CL5" s="18">
        <f>'SEP 10'!CL55</f>
        <v>0</v>
      </c>
      <c r="CM5" s="18">
        <f>'SEP 10'!CM55</f>
        <v>79545.207070000004</v>
      </c>
      <c r="CN5" s="18">
        <f>'SEP 10'!CN55</f>
        <v>647657.33605000004</v>
      </c>
      <c r="CO5" s="18">
        <f>'SEP 10'!CO55</f>
        <v>736464.8368199995</v>
      </c>
      <c r="CP5" s="18">
        <f>'SEP 10'!CP55</f>
        <v>9152723.6727600005</v>
      </c>
      <c r="CQ5" s="18">
        <f>'SEP 10'!CQ55</f>
        <v>377715.39094000001</v>
      </c>
      <c r="CR5" s="18">
        <f>'SEP 10'!CR55</f>
        <v>903266.84160000039</v>
      </c>
      <c r="CS5" s="18">
        <f>'SEP 10'!CS55</f>
        <v>5013.4199999999992</v>
      </c>
      <c r="CT5" s="18">
        <f>'SEP 10'!CT55</f>
        <v>20149.387893799994</v>
      </c>
      <c r="CU5" s="18">
        <f>'SEP 10'!CU55</f>
        <v>5013.4199999999992</v>
      </c>
      <c r="CV5" s="18">
        <f>'SEP 10'!CV55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408152666.33577043</v>
      </c>
    </row>
    <row r="6" spans="1:101" s="20" customFormat="1" x14ac:dyDescent="0.3">
      <c r="A6" s="173"/>
      <c r="B6" s="19"/>
      <c r="C6" s="19" t="s">
        <v>91</v>
      </c>
      <c r="D6" s="19">
        <v>-39761.275800000003</v>
      </c>
      <c r="E6" s="19">
        <v>6910716.6825700011</v>
      </c>
      <c r="F6" s="19">
        <v>6438634.6228400003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43657.86</v>
      </c>
      <c r="BU6" s="19">
        <v>171207.79061880001</v>
      </c>
      <c r="BV6" s="19">
        <v>0</v>
      </c>
      <c r="BW6" s="19">
        <v>-1.7569999999832362</v>
      </c>
      <c r="BX6" s="19">
        <v>0</v>
      </c>
      <c r="BY6" s="19">
        <v>-17902.411</v>
      </c>
      <c r="BZ6" s="19">
        <v>-906019.36788999988</v>
      </c>
      <c r="CA6" s="19">
        <v>-1501396.9000299992</v>
      </c>
      <c r="CB6" s="19">
        <v>0</v>
      </c>
      <c r="CC6" s="19">
        <v>0</v>
      </c>
      <c r="CD6" s="19">
        <v>0</v>
      </c>
      <c r="CE6" s="19">
        <v>997.7300000000032</v>
      </c>
      <c r="CF6" s="19">
        <v>25566.527999999933</v>
      </c>
      <c r="CG6" s="19">
        <v>359.55899999995017</v>
      </c>
      <c r="CH6" s="19">
        <v>0</v>
      </c>
      <c r="CI6" s="19">
        <v>30614.101999999955</v>
      </c>
      <c r="CJ6" s="19">
        <v>53394.54999999993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391636.51080994518</v>
      </c>
      <c r="E8" s="18">
        <f t="shared" si="0"/>
        <v>25408550.839271046</v>
      </c>
      <c r="F8" s="18">
        <f t="shared" si="0"/>
        <v>13518003.25401438</v>
      </c>
      <c r="G8" s="18">
        <f t="shared" si="0"/>
        <v>0</v>
      </c>
      <c r="H8" s="18">
        <f t="shared" si="0"/>
        <v>0</v>
      </c>
      <c r="I8" s="18">
        <f t="shared" si="0"/>
        <v>75071.295114578345</v>
      </c>
      <c r="J8" s="18">
        <f t="shared" si="0"/>
        <v>0</v>
      </c>
      <c r="K8" s="18">
        <f t="shared" si="0"/>
        <v>163081.68768414296</v>
      </c>
      <c r="L8" s="18">
        <f t="shared" si="0"/>
        <v>263197.50409462798</v>
      </c>
      <c r="M8" s="18">
        <f t="shared" si="0"/>
        <v>208522.95111149256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1406766.5734668665</v>
      </c>
      <c r="Q8" s="18">
        <f t="shared" si="0"/>
        <v>5527568.5851529902</v>
      </c>
      <c r="R8" s="18">
        <f t="shared" si="0"/>
        <v>4634522.1145099998</v>
      </c>
      <c r="S8" s="18">
        <f t="shared" si="0"/>
        <v>18763514.563730326</v>
      </c>
      <c r="T8" s="18">
        <f t="shared" si="0"/>
        <v>56675.350000000006</v>
      </c>
      <c r="U8" s="18">
        <f t="shared" si="0"/>
        <v>227744.79319349999</v>
      </c>
      <c r="V8" s="18">
        <f t="shared" si="0"/>
        <v>37486884.669999994</v>
      </c>
      <c r="W8" s="18">
        <f t="shared" si="0"/>
        <v>150266126.80465597</v>
      </c>
      <c r="X8" s="18">
        <f t="shared" si="0"/>
        <v>2405642.2999999998</v>
      </c>
      <c r="Y8" s="18">
        <f t="shared" si="0"/>
        <v>9665387.0747429989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26076626.955066081</v>
      </c>
      <c r="AM8" s="18">
        <f t="shared" si="0"/>
        <v>97285252.958415344</v>
      </c>
      <c r="AN8" s="18">
        <f t="shared" si="0"/>
        <v>4854042.0190500002</v>
      </c>
      <c r="AO8" s="18">
        <f t="shared" si="0"/>
        <v>843728.85983144003</v>
      </c>
      <c r="AP8" s="18">
        <f t="shared" si="0"/>
        <v>12459349.124950144</v>
      </c>
      <c r="AQ8" s="18">
        <f t="shared" si="0"/>
        <v>779490.25570216379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180378.02888800003</v>
      </c>
      <c r="AZ8" s="18">
        <f t="shared" si="0"/>
        <v>23756.924137323233</v>
      </c>
      <c r="BA8" s="18">
        <f t="shared" si="0"/>
        <v>206203.9417240069</v>
      </c>
      <c r="BB8" s="18">
        <f t="shared" si="0"/>
        <v>71407.238219991166</v>
      </c>
      <c r="BC8" s="18">
        <f t="shared" si="0"/>
        <v>272395.13584799855</v>
      </c>
      <c r="BD8" s="18">
        <f t="shared" si="0"/>
        <v>17404.208599989848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20848614.541508012</v>
      </c>
      <c r="BL8" s="18">
        <f t="shared" si="0"/>
        <v>115190.74305244608</v>
      </c>
      <c r="BM8" s="18">
        <f t="shared" si="0"/>
        <v>1092051.0396571637</v>
      </c>
      <c r="BN8" s="18">
        <f t="shared" si="0"/>
        <v>1244238.4995173819</v>
      </c>
      <c r="BO8" s="18">
        <f t="shared" si="0"/>
        <v>3.4691202304202307E-3</v>
      </c>
      <c r="BP8" s="18">
        <f t="shared" si="0"/>
        <v>261.1893293290654</v>
      </c>
      <c r="BQ8" s="18">
        <f t="shared" si="0"/>
        <v>4.0128798844989433E-3</v>
      </c>
      <c r="BR8" s="18">
        <f t="shared" si="0"/>
        <v>535884.68600000336</v>
      </c>
      <c r="BS8" s="18">
        <f t="shared" si="0"/>
        <v>2136005.332414289</v>
      </c>
      <c r="BT8" s="18">
        <f t="shared" ref="BT8:CV8" si="1">BT5+BT6+BT7</f>
        <v>131192.95493201783</v>
      </c>
      <c r="BU8" s="18">
        <f t="shared" si="1"/>
        <v>498163.21852028777</v>
      </c>
      <c r="BV8" s="18">
        <f t="shared" si="1"/>
        <v>9298.8778600000005</v>
      </c>
      <c r="BW8" s="18">
        <f t="shared" si="1"/>
        <v>198822.49400000001</v>
      </c>
      <c r="BX8" s="18">
        <f t="shared" si="1"/>
        <v>22663.665000000001</v>
      </c>
      <c r="BY8" s="18">
        <f>+BY5+BY6+BY7:BZ7</f>
        <v>808408.97194000054</v>
      </c>
      <c r="BZ8" s="18">
        <f t="shared" si="1"/>
        <v>-924379.08175000921</v>
      </c>
      <c r="CA8" s="18">
        <f t="shared" si="1"/>
        <v>3234737.6525299931</v>
      </c>
      <c r="CB8" s="18">
        <f t="shared" si="1"/>
        <v>19818.565999999999</v>
      </c>
      <c r="CC8" s="18">
        <f t="shared" si="1"/>
        <v>1104639.7490000001</v>
      </c>
      <c r="CD8" s="18">
        <f t="shared" si="1"/>
        <v>0</v>
      </c>
      <c r="CE8" s="18">
        <f t="shared" si="1"/>
        <v>28392.831999999995</v>
      </c>
      <c r="CF8" s="18">
        <f t="shared" si="1"/>
        <v>1329109.9809999999</v>
      </c>
      <c r="CG8" s="18">
        <f t="shared" si="1"/>
        <v>442578.98349999997</v>
      </c>
      <c r="CH8" s="18">
        <f t="shared" si="1"/>
        <v>2.9318200000000001</v>
      </c>
      <c r="CI8" s="18">
        <f t="shared" si="1"/>
        <v>838131.49843999918</v>
      </c>
      <c r="CJ8" s="18">
        <f t="shared" si="1"/>
        <v>633799.52503999975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903266.84160000039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419319076.18907934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49320+339375+303884.7+3116.861</f>
        <v>695696.56099999999</v>
      </c>
      <c r="M11" s="26"/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695696.56099999999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>
        <v>19082.942999999999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19082.942999999999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>
        <v>-7851198.4349999996</v>
      </c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-7851198.4349999996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>
        <v>-56283120</v>
      </c>
      <c r="M20" s="29">
        <v>-38606560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-94889680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-74122464.120000005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-74122464.120000005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>
        <v>2972760</v>
      </c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2972760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133098859.853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133098859.853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>
        <v>38302556.277999997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38302556.277999997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43000</v>
      </c>
      <c r="E27" s="29"/>
      <c r="F27" s="29"/>
      <c r="G27" s="26"/>
      <c r="H27" s="26"/>
      <c r="I27" s="26"/>
      <c r="J27" s="26"/>
      <c r="K27" s="26"/>
      <c r="L27" s="27"/>
      <c r="M27" s="26">
        <v>1300000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4000000</v>
      </c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5343000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-12951000</v>
      </c>
      <c r="F28" s="26">
        <v>-4277000</v>
      </c>
      <c r="G28" s="26"/>
      <c r="H28" s="26"/>
      <c r="I28" s="26"/>
      <c r="J28" s="26"/>
      <c r="K28" s="26"/>
      <c r="L28" s="27">
        <v>-3770000</v>
      </c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-20998000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-590000+980000</f>
        <v>390000</v>
      </c>
      <c r="W35" s="38">
        <f>(V35*3921.58)/1000</f>
        <v>1529416.2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1529416.2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f>-1332900-1307550</f>
        <v>-2640450</v>
      </c>
      <c r="M38" s="39">
        <f>-533160-523020</f>
        <v>-1056180</v>
      </c>
      <c r="N38" s="38"/>
      <c r="O38" s="38"/>
      <c r="P38" s="38">
        <v>-585257.43999999994</v>
      </c>
      <c r="Q38" s="38">
        <f>(P38*3921.58)/1000</f>
        <v>-2295133.8715551998</v>
      </c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-5991763.8715551998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-0.97199999999999998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f>-2.546-0.01</f>
        <v>-2.5559999999999996</v>
      </c>
      <c r="BB50" s="49">
        <v>-0.88200000000000001</v>
      </c>
      <c r="BC50" s="49">
        <v>-3.3639999999999999</v>
      </c>
      <c r="BD50" s="49">
        <v>-0.215</v>
      </c>
      <c r="BE50" s="49"/>
      <c r="BF50" s="49"/>
      <c r="BG50" s="49"/>
      <c r="BH50" s="49"/>
      <c r="BI50" s="49"/>
      <c r="BJ50" s="49"/>
      <c r="BK50" s="49"/>
      <c r="BL50" s="49">
        <v>-1.4910000000000001</v>
      </c>
      <c r="BM50" s="49">
        <v>-14.14</v>
      </c>
      <c r="BN50" s="49">
        <v>-16.11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-39.729999999999997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-710.91700000000003</v>
      </c>
      <c r="F51" s="49">
        <v>-72.765000000000001</v>
      </c>
      <c r="G51" s="49"/>
      <c r="H51" s="49"/>
      <c r="I51" s="49"/>
      <c r="J51" s="49"/>
      <c r="K51" s="48"/>
      <c r="L51" s="48">
        <f>-37.81195-0.01</f>
        <v>-37.821950000000001</v>
      </c>
      <c r="M51" s="48">
        <f>-8.259-0.01</f>
        <v>-8.2690000000000001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-829.77295000000004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13.8858</v>
      </c>
      <c r="J52" s="49"/>
      <c r="K52" s="49"/>
      <c r="L52" s="48"/>
      <c r="M52" s="48"/>
      <c r="N52" s="49"/>
      <c r="O52" s="49"/>
      <c r="P52" s="49"/>
      <c r="Q52" s="49"/>
      <c r="R52" s="49">
        <v>352.67</v>
      </c>
      <c r="S52" s="49">
        <f>(R52*3921.58)/1000</f>
        <v>1383.0236186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36.375</v>
      </c>
      <c r="BB52" s="49">
        <v>12.597</v>
      </c>
      <c r="BC52" s="49">
        <f>48.052+0.01</f>
        <v>48.061999999999998</v>
      </c>
      <c r="BD52" s="49">
        <v>3.07</v>
      </c>
      <c r="BE52" s="49"/>
      <c r="BF52" s="49"/>
      <c r="BG52" s="49"/>
      <c r="BH52" s="49"/>
      <c r="BI52" s="49"/>
      <c r="BJ52" s="49"/>
      <c r="BK52" s="49"/>
      <c r="BL52" s="49">
        <v>21.306619999999999</v>
      </c>
      <c r="BM52" s="49">
        <v>201.99474000000001</v>
      </c>
      <c r="BN52" s="49">
        <f>230.14459+0.01</f>
        <v>230.15458999999998</v>
      </c>
      <c r="BO52" s="49"/>
      <c r="BP52" s="49">
        <f>48.31/1000-0.01</f>
        <v>3.8310000000000004E-2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1950.5076786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-2.8436680000000001</v>
      </c>
      <c r="F53" s="49">
        <f>(F10+F13+F16+F17+F33+F38+F47+F35+F40)*4/1000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-10561.951287799999</v>
      </c>
      <c r="M53" s="48">
        <f>(M10+M13+M17+M33+M38+M40+M51+M36+M49+M16)*4/1000</f>
        <v>-4224.753076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-31404.793739999997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-46194.341771799998</v>
      </c>
    </row>
    <row r="54" spans="1:101" x14ac:dyDescent="0.3">
      <c r="C54" s="50" t="s">
        <v>141</v>
      </c>
      <c r="D54" s="51">
        <f t="shared" ref="D54:AM54" si="6">SUM(D9:D53)</f>
        <v>43000</v>
      </c>
      <c r="E54" s="51">
        <f t="shared" si="6"/>
        <v>-12951713.760668</v>
      </c>
      <c r="F54" s="51">
        <f>SUM(F9:F53)</f>
        <v>-4277072.7649999997</v>
      </c>
      <c r="G54" s="51">
        <f t="shared" si="6"/>
        <v>0</v>
      </c>
      <c r="H54" s="51">
        <f t="shared" si="6"/>
        <v>0</v>
      </c>
      <c r="I54" s="51">
        <f t="shared" si="6"/>
        <v>12.9138</v>
      </c>
      <c r="J54" s="51">
        <f t="shared" si="6"/>
        <v>0</v>
      </c>
      <c r="K54" s="51">
        <f t="shared" si="6"/>
        <v>0</v>
      </c>
      <c r="L54" s="52">
        <f>SUM(L9:L53)</f>
        <v>-40234.536237796543</v>
      </c>
      <c r="M54" s="51">
        <f t="shared" si="6"/>
        <v>-64416.744076002862</v>
      </c>
      <c r="N54" s="51">
        <f t="shared" si="6"/>
        <v>0</v>
      </c>
      <c r="O54" s="51">
        <f t="shared" si="6"/>
        <v>0</v>
      </c>
      <c r="P54" s="51">
        <f t="shared" si="6"/>
        <v>-585257.43999999994</v>
      </c>
      <c r="Q54" s="51">
        <f t="shared" si="6"/>
        <v>-2295133.8715551998</v>
      </c>
      <c r="R54" s="51">
        <f t="shared" si="6"/>
        <v>352.67</v>
      </c>
      <c r="S54" s="51">
        <f t="shared" si="6"/>
        <v>1383.0236186</v>
      </c>
      <c r="T54" s="51">
        <f t="shared" si="6"/>
        <v>0</v>
      </c>
      <c r="U54" s="51">
        <f t="shared" si="6"/>
        <v>0</v>
      </c>
      <c r="V54" s="51">
        <f t="shared" si="6"/>
        <v>390000</v>
      </c>
      <c r="W54" s="51">
        <f t="shared" si="6"/>
        <v>1529416.2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33.819000000000003</v>
      </c>
      <c r="BB54" s="51">
        <f t="shared" si="7"/>
        <v>11.715</v>
      </c>
      <c r="BC54" s="51">
        <f t="shared" si="7"/>
        <v>44.698</v>
      </c>
      <c r="BD54" s="51">
        <f t="shared" si="7"/>
        <v>2.855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-7882603.2287399992</v>
      </c>
      <c r="BL54" s="51">
        <f t="shared" si="7"/>
        <v>19.815619999999999</v>
      </c>
      <c r="BM54" s="51">
        <f t="shared" si="7"/>
        <v>187.85473999999999</v>
      </c>
      <c r="BN54" s="51">
        <f t="shared" si="7"/>
        <v>214.04458999999997</v>
      </c>
      <c r="BO54" s="51">
        <f t="shared" si="7"/>
        <v>0</v>
      </c>
      <c r="BP54" s="51">
        <f t="shared" si="7"/>
        <v>3.8310000000000004E-2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4000000</v>
      </c>
      <c r="CA54" s="51">
        <f t="shared" si="7"/>
        <v>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-21936847.928598393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434636.51080994518</v>
      </c>
      <c r="E55" s="56">
        <f t="shared" si="8"/>
        <v>12456837.078603046</v>
      </c>
      <c r="F55" s="56">
        <f>+F8+F54</f>
        <v>9240930.4890143797</v>
      </c>
      <c r="G55" s="56">
        <f t="shared" si="8"/>
        <v>0</v>
      </c>
      <c r="H55" s="56">
        <f t="shared" si="8"/>
        <v>0</v>
      </c>
      <c r="I55" s="56">
        <f t="shared" si="8"/>
        <v>75084.208914578339</v>
      </c>
      <c r="J55" s="56">
        <f t="shared" si="8"/>
        <v>0</v>
      </c>
      <c r="K55" s="56">
        <f t="shared" si="8"/>
        <v>163081.68768414296</v>
      </c>
      <c r="L55" s="56">
        <f t="shared" si="8"/>
        <v>222962.96785683144</v>
      </c>
      <c r="M55" s="56">
        <f t="shared" si="8"/>
        <v>144106.2070354897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821509.13346686657</v>
      </c>
      <c r="Q55" s="56">
        <f t="shared" si="8"/>
        <v>3232434.7135977903</v>
      </c>
      <c r="R55" s="56">
        <f t="shared" si="8"/>
        <v>4634874.7845099997</v>
      </c>
      <c r="S55" s="56">
        <f t="shared" si="8"/>
        <v>18764897.587348927</v>
      </c>
      <c r="T55" s="56">
        <f t="shared" si="8"/>
        <v>56675.350000000006</v>
      </c>
      <c r="U55" s="56">
        <f t="shared" si="8"/>
        <v>227744.79319349999</v>
      </c>
      <c r="V55" s="56">
        <f t="shared" si="8"/>
        <v>37876884.669999994</v>
      </c>
      <c r="W55" s="56">
        <f t="shared" si="8"/>
        <v>151795543.00465596</v>
      </c>
      <c r="X55" s="56">
        <f t="shared" si="8"/>
        <v>2405642.2999999998</v>
      </c>
      <c r="Y55" s="56">
        <f t="shared" si="8"/>
        <v>9665387.0747429989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282242.31999999727</v>
      </c>
      <c r="AI55" s="56">
        <f t="shared" si="8"/>
        <v>1134165.3611111888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26076626.955066081</v>
      </c>
      <c r="AM55" s="56">
        <f t="shared" si="8"/>
        <v>97285252.958415344</v>
      </c>
      <c r="AN55" s="56">
        <f t="shared" si="8"/>
        <v>4854042.0190500002</v>
      </c>
      <c r="AO55" s="56">
        <f t="shared" si="8"/>
        <v>843728.85983144003</v>
      </c>
      <c r="AP55" s="56">
        <f t="shared" si="8"/>
        <v>12459349.124950144</v>
      </c>
      <c r="AQ55" s="56">
        <f t="shared" si="8"/>
        <v>779490.25570216379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180378.02888800003</v>
      </c>
      <c r="AZ55" s="56">
        <f t="shared" si="8"/>
        <v>23756.924137323233</v>
      </c>
      <c r="BA55" s="56">
        <f t="shared" si="8"/>
        <v>206237.76072400689</v>
      </c>
      <c r="BB55" s="56">
        <f t="shared" si="8"/>
        <v>71418.953219991163</v>
      </c>
      <c r="BC55" s="56">
        <f t="shared" si="8"/>
        <v>272439.83384799853</v>
      </c>
      <c r="BD55" s="56">
        <f t="shared" si="8"/>
        <v>17407.063599989848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12966011.312768012</v>
      </c>
      <c r="BL55" s="56">
        <f t="shared" si="8"/>
        <v>115210.55867244607</v>
      </c>
      <c r="BM55" s="56">
        <f t="shared" si="8"/>
        <v>1092238.8943971638</v>
      </c>
      <c r="BN55" s="56">
        <f t="shared" si="8"/>
        <v>1244452.544107382</v>
      </c>
      <c r="BO55" s="56">
        <f t="shared" si="8"/>
        <v>3.4691202304202307E-3</v>
      </c>
      <c r="BP55" s="56">
        <f t="shared" si="8"/>
        <v>261.22763932906543</v>
      </c>
      <c r="BQ55" s="56">
        <f t="shared" si="8"/>
        <v>4.0128798844989433E-3</v>
      </c>
      <c r="BR55" s="56">
        <f t="shared" si="8"/>
        <v>535884.68600000336</v>
      </c>
      <c r="BS55" s="56">
        <f t="shared" si="8"/>
        <v>2136005.332414289</v>
      </c>
      <c r="BT55" s="56">
        <f t="shared" ref="BT55:CV55" si="9">+BT8+BT54</f>
        <v>131192.95493201783</v>
      </c>
      <c r="BU55" s="56">
        <f t="shared" si="9"/>
        <v>498163.21852028777</v>
      </c>
      <c r="BV55" s="56">
        <f t="shared" si="9"/>
        <v>9298.8778600000005</v>
      </c>
      <c r="BW55" s="56">
        <f t="shared" si="9"/>
        <v>198822.49400000001</v>
      </c>
      <c r="BX55" s="56">
        <f t="shared" si="9"/>
        <v>22663.665000000001</v>
      </c>
      <c r="BY55" s="56">
        <f t="shared" si="9"/>
        <v>808408.97194000054</v>
      </c>
      <c r="BZ55" s="56">
        <f t="shared" si="9"/>
        <v>3075620.9182499908</v>
      </c>
      <c r="CA55" s="56">
        <f t="shared" si="9"/>
        <v>3234737.6525299931</v>
      </c>
      <c r="CB55" s="56">
        <f t="shared" si="9"/>
        <v>19818.565999999999</v>
      </c>
      <c r="CC55" s="56">
        <f t="shared" si="9"/>
        <v>1104639.7490000001</v>
      </c>
      <c r="CD55" s="56">
        <f t="shared" si="9"/>
        <v>0</v>
      </c>
      <c r="CE55" s="56">
        <f t="shared" si="9"/>
        <v>28392.831999999995</v>
      </c>
      <c r="CF55" s="56">
        <f t="shared" si="9"/>
        <v>1329109.9809999999</v>
      </c>
      <c r="CG55" s="56">
        <f t="shared" si="9"/>
        <v>442578.98349999997</v>
      </c>
      <c r="CH55" s="56">
        <f t="shared" si="9"/>
        <v>2.9318200000000001</v>
      </c>
      <c r="CI55" s="56">
        <f t="shared" si="9"/>
        <v>838131.49843999918</v>
      </c>
      <c r="CJ55" s="56">
        <f t="shared" si="9"/>
        <v>633799.52503999975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903266.84160000039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397382228.26048088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57"/>
      <c r="O57" s="57"/>
      <c r="P57" s="68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73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73"/>
      <c r="Q59" s="73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180431955.63499999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73"/>
      <c r="Q60" s="73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133098859.853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59"/>
      <c r="BY61" s="59"/>
      <c r="BZ61" s="57"/>
      <c r="CA61" s="59"/>
      <c r="CD61" s="59"/>
    </row>
    <row r="62" spans="1:101" x14ac:dyDescent="0.3">
      <c r="B62" s="165"/>
      <c r="C62" s="87" t="s">
        <v>152</v>
      </c>
      <c r="D62" s="88">
        <f>CW11+CW15</f>
        <v>695696.56099999999</v>
      </c>
      <c r="E62" s="67" t="s">
        <v>205</v>
      </c>
      <c r="F62" s="89" t="s">
        <v>153</v>
      </c>
      <c r="G62" s="91">
        <f>P55</f>
        <v>821509.13346686657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5343000</v>
      </c>
      <c r="E63" s="67" t="s">
        <v>205</v>
      </c>
      <c r="F63" s="89" t="s">
        <v>155</v>
      </c>
      <c r="G63" s="91">
        <f>R55</f>
        <v>4634874.7845099997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38321639.221000001</v>
      </c>
      <c r="E64" s="67" t="s">
        <v>205</v>
      </c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2972760</v>
      </c>
      <c r="E65" s="67">
        <v>7729563</v>
      </c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56675.350000000006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37876884.669999994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2405642.2999999998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-203853106.42655522</v>
      </c>
      <c r="E73" s="71"/>
      <c r="F73" s="114" t="s">
        <v>163</v>
      </c>
      <c r="G73" s="115">
        <f>L55*1000</f>
        <v>222962967.85683143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-7851198.4349999996</v>
      </c>
      <c r="E74" s="71"/>
      <c r="F74" s="114" t="s">
        <v>165</v>
      </c>
      <c r="G74" s="115">
        <f>M55*1000</f>
        <v>144106207.03548971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-94889680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-74122464.120000005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-20998000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-5991763.8715551998</v>
      </c>
      <c r="E81" s="101" t="s">
        <v>205</v>
      </c>
      <c r="F81" s="128" t="s">
        <v>172</v>
      </c>
      <c r="G81" s="126">
        <f>AH55</f>
        <v>282242.31999999727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206203.9417240069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36.375</v>
      </c>
      <c r="L92" s="143">
        <f>BA50+BA51+BA53+BA40+BA42+BA43+BA45</f>
        <v>-2.5559999999999996</v>
      </c>
      <c r="M92" s="144">
        <f t="shared" si="10"/>
        <v>206237.76072400689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272395.13584799855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48.061999999999998</v>
      </c>
      <c r="L98" s="143">
        <f>BC50+BC51+BC53+BC40+BC42+BC43+BC45</f>
        <v>-3.3639999999999999</v>
      </c>
      <c r="M98" s="144">
        <f t="shared" si="10"/>
        <v>272439.83384799853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71407.238219991166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12.597</v>
      </c>
      <c r="L99" s="143">
        <f>BB50+BB51+BB53+BB40+BB42+BB43+BB45</f>
        <v>-0.88200000000000001</v>
      </c>
      <c r="M99" s="144">
        <f t="shared" si="10"/>
        <v>71418.953219991163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17404.208599989848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</v>
      </c>
      <c r="L104" s="143">
        <f>BD50+BD51+BD53+BD40+BD42+BD43+BD45</f>
        <v>-0.215</v>
      </c>
      <c r="M104" s="144">
        <f t="shared" si="10"/>
        <v>17407.063599989848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180378.02888800003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180378.02888800003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608373.73969167937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36.375</v>
      </c>
      <c r="L108" s="98">
        <f t="shared" si="11"/>
        <v>-2.5559999999999996</v>
      </c>
      <c r="M108" s="98">
        <f t="shared" si="11"/>
        <v>608407.55869167938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847440.0327723528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60.658999999999999</v>
      </c>
      <c r="L109" s="98">
        <f t="shared" si="12"/>
        <v>-4.2459999999999996</v>
      </c>
      <c r="M109" s="98">
        <f t="shared" si="12"/>
        <v>847496.44577235274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457755.8139914301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3.07</v>
      </c>
      <c r="L110" s="98">
        <f t="shared" si="13"/>
        <v>-0.215</v>
      </c>
      <c r="M110" s="98">
        <f t="shared" si="13"/>
        <v>457758.66899143008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11'!D55</f>
        <v>434636.51080994518</v>
      </c>
      <c r="E5" s="18">
        <f>'SEP 11'!E55</f>
        <v>12456837.078603046</v>
      </c>
      <c r="F5" s="18">
        <f>'SEP 11'!F55</f>
        <v>9240930.4890143797</v>
      </c>
      <c r="G5" s="18">
        <f>'SEP 11'!G55</f>
        <v>0</v>
      </c>
      <c r="H5" s="18">
        <f>'SEP 11'!H55</f>
        <v>0</v>
      </c>
      <c r="I5" s="18">
        <f>'SEP 11'!I55</f>
        <v>75084.208914578339</v>
      </c>
      <c r="J5" s="18">
        <f>'SEP 11'!J55</f>
        <v>0</v>
      </c>
      <c r="K5" s="18">
        <f>'SEP 11'!K55</f>
        <v>163081.68768414296</v>
      </c>
      <c r="L5" s="18">
        <f>'SEP 11'!L55</f>
        <v>222962.96785683144</v>
      </c>
      <c r="M5" s="18">
        <f>'SEP 11'!M55</f>
        <v>144106.2070354897</v>
      </c>
      <c r="N5" s="18">
        <f>'SEP 11'!N55</f>
        <v>120822.5199999999</v>
      </c>
      <c r="O5" s="18">
        <f>'SEP 11'!O55</f>
        <v>485514.42259319959</v>
      </c>
      <c r="P5" s="18">
        <f>'SEP 11'!P55</f>
        <v>821509.13346686657</v>
      </c>
      <c r="Q5" s="18">
        <f>'SEP 11'!Q55</f>
        <v>3232434.7135977903</v>
      </c>
      <c r="R5" s="18">
        <f>'SEP 11'!R55</f>
        <v>4634874.7845099997</v>
      </c>
      <c r="S5" s="18">
        <f>'SEP 11'!S55</f>
        <v>18764897.587348927</v>
      </c>
      <c r="T5" s="18">
        <f>'SEP 11'!T55</f>
        <v>56675.350000000006</v>
      </c>
      <c r="U5" s="18">
        <f>'SEP 11'!U55</f>
        <v>227744.79319349999</v>
      </c>
      <c r="V5" s="18">
        <f>'SEP 11'!V55</f>
        <v>37876884.669999994</v>
      </c>
      <c r="W5" s="18">
        <f>'SEP 11'!W55</f>
        <v>151795543.00465596</v>
      </c>
      <c r="X5" s="18">
        <f>'SEP 11'!X55</f>
        <v>2405642.2999999998</v>
      </c>
      <c r="Y5" s="18">
        <f>'SEP 11'!Y55</f>
        <v>9665387.0747429989</v>
      </c>
      <c r="Z5" s="18">
        <f>'SEP 11'!Z55</f>
        <v>9662.5274983807467</v>
      </c>
      <c r="AA5" s="18">
        <f>'SEP 11'!AA55</f>
        <v>38827.997124768175</v>
      </c>
      <c r="AB5" s="18">
        <f>'SEP 11'!AB55</f>
        <v>7542.7499999967404</v>
      </c>
      <c r="AC5" s="18">
        <f>'SEP 11'!AC55</f>
        <v>30309.862027486903</v>
      </c>
      <c r="AD5" s="18">
        <f>'SEP 11'!AD55</f>
        <v>5155</v>
      </c>
      <c r="AE5" s="18">
        <f>'SEP 11'!AE55</f>
        <v>20714.903549999999</v>
      </c>
      <c r="AF5" s="18">
        <f>'SEP 11'!AF55</f>
        <v>7956.8699999451637</v>
      </c>
      <c r="AG5" s="18">
        <f>'SEP 11'!AG55</f>
        <v>31973.965976479645</v>
      </c>
      <c r="AH5" s="18">
        <f>'SEP 11'!AH55</f>
        <v>282242.31999999727</v>
      </c>
      <c r="AI5" s="18">
        <f>'SEP 11'!AI55</f>
        <v>1134165.3611111888</v>
      </c>
      <c r="AJ5" s="18">
        <f>'SEP 11'!AJ55</f>
        <v>675895.70999999822</v>
      </c>
      <c r="AK5" s="18">
        <f>'SEP 11'!AK55</f>
        <v>2716026.0800210927</v>
      </c>
      <c r="AL5" s="18">
        <f>'SEP 11'!AL55</f>
        <v>26076626.955066081</v>
      </c>
      <c r="AM5" s="18">
        <f>'SEP 11'!AM55</f>
        <v>97285252.958415344</v>
      </c>
      <c r="AN5" s="18">
        <f>'SEP 11'!AN55</f>
        <v>4854042.0190500002</v>
      </c>
      <c r="AO5" s="18">
        <f>'SEP 11'!AO55</f>
        <v>843728.85983144003</v>
      </c>
      <c r="AP5" s="18">
        <f>'SEP 11'!AP55</f>
        <v>12459349.124950144</v>
      </c>
      <c r="AQ5" s="18">
        <f>'SEP 11'!AQ55</f>
        <v>779490.25570216379</v>
      </c>
      <c r="AR5" s="18">
        <f>'SEP 11'!AR55</f>
        <v>33467.106463993005</v>
      </c>
      <c r="AS5" s="18">
        <f>'SEP 11'!AS55</f>
        <v>6.3419079996137473</v>
      </c>
      <c r="AT5" s="18">
        <f>'SEP 11'!AT55</f>
        <v>11.326432002509915</v>
      </c>
      <c r="AU5" s="18">
        <f>'SEP 11'!AU55</f>
        <v>70852.565203997277</v>
      </c>
      <c r="AV5" s="18">
        <f>'SEP 11'!AV55</f>
        <v>529097.77060280275</v>
      </c>
      <c r="AW5" s="18">
        <f>'SEP 11'!AW55</f>
        <v>87470.533549996806</v>
      </c>
      <c r="AX5" s="18">
        <f>'SEP 11'!AX55</f>
        <v>1064.5961240010877</v>
      </c>
      <c r="AY5" s="18">
        <f>'SEP 11'!AY55</f>
        <v>180378.02888800003</v>
      </c>
      <c r="AZ5" s="18">
        <f>'SEP 11'!AZ55</f>
        <v>23756.924137323233</v>
      </c>
      <c r="BA5" s="18">
        <f>'SEP 11'!BA55</f>
        <v>206237.76072400689</v>
      </c>
      <c r="BB5" s="18">
        <f>'SEP 11'!BB55</f>
        <v>71418.953219991163</v>
      </c>
      <c r="BC5" s="18">
        <f>'SEP 11'!BC55</f>
        <v>272439.83384799853</v>
      </c>
      <c r="BD5" s="18">
        <f>'SEP 11'!BD55</f>
        <v>17407.063599989848</v>
      </c>
      <c r="BE5" s="18">
        <f>'SEP 11'!BE55</f>
        <v>256626.99715368054</v>
      </c>
      <c r="BF5" s="18">
        <f>'SEP 11'!BF55</f>
        <v>294827.49323035986</v>
      </c>
      <c r="BG5" s="18">
        <f>'SEP 11'!BG55</f>
        <v>35110.408018882757</v>
      </c>
      <c r="BH5" s="18">
        <f>'SEP 11'!BH55</f>
        <v>24605.160800002101</v>
      </c>
      <c r="BI5" s="18">
        <f>'SEP 11'!BI55</f>
        <v>207727.90101</v>
      </c>
      <c r="BJ5" s="18">
        <f>'SEP 11'!BJ55</f>
        <v>154010.6032805602</v>
      </c>
      <c r="BK5" s="18">
        <f>'SEP 11'!BK55</f>
        <v>12966011.312768012</v>
      </c>
      <c r="BL5" s="18">
        <f>'SEP 11'!BL55</f>
        <v>115210.55867244607</v>
      </c>
      <c r="BM5" s="18">
        <f>'SEP 11'!BM55</f>
        <v>1092238.8943971638</v>
      </c>
      <c r="BN5" s="18">
        <f>'SEP 11'!BN55</f>
        <v>1244452.544107382</v>
      </c>
      <c r="BO5" s="18">
        <f>'SEP 11'!BO55</f>
        <v>3.4691202304202307E-3</v>
      </c>
      <c r="BP5" s="18">
        <f>'SEP 11'!BP55</f>
        <v>261.22763932906543</v>
      </c>
      <c r="BQ5" s="18">
        <f>'SEP 11'!BQ55</f>
        <v>4.0128798844989433E-3</v>
      </c>
      <c r="BR5" s="18">
        <f>'SEP 11'!BR55</f>
        <v>535884.68600000336</v>
      </c>
      <c r="BS5" s="18">
        <f>'SEP 11'!BS55</f>
        <v>2136005.332414289</v>
      </c>
      <c r="BT5" s="18">
        <f>'SEP 11'!BT55</f>
        <v>131192.95493201783</v>
      </c>
      <c r="BU5" s="18">
        <f>'SEP 11'!BU55</f>
        <v>498163.21852028777</v>
      </c>
      <c r="BV5" s="18">
        <f>'SEP 11'!BV55</f>
        <v>9298.8778600000005</v>
      </c>
      <c r="BW5" s="18">
        <f>'SEP 11'!BW55</f>
        <v>198822.49400000001</v>
      </c>
      <c r="BX5" s="18">
        <f>'SEP 11'!BX55</f>
        <v>22663.665000000001</v>
      </c>
      <c r="BY5" s="18">
        <f>'SEP 11'!BY55</f>
        <v>808408.97194000054</v>
      </c>
      <c r="BZ5" s="18">
        <f>'SEP 11'!BZ55</f>
        <v>3075620.9182499908</v>
      </c>
      <c r="CA5" s="18">
        <f>'SEP 11'!CA55</f>
        <v>3234737.6525299931</v>
      </c>
      <c r="CB5" s="18">
        <f>'SEP 11'!CB55</f>
        <v>19818.565999999999</v>
      </c>
      <c r="CC5" s="18">
        <f>'SEP 11'!CC55</f>
        <v>1104639.7490000001</v>
      </c>
      <c r="CD5" s="18">
        <f>'SEP 11'!CD55</f>
        <v>0</v>
      </c>
      <c r="CE5" s="18">
        <f>'SEP 11'!CE55</f>
        <v>28392.831999999995</v>
      </c>
      <c r="CF5" s="18">
        <f>'SEP 11'!CF55</f>
        <v>1329109.9809999999</v>
      </c>
      <c r="CG5" s="18">
        <f>'SEP 11'!CG55</f>
        <v>442578.98349999997</v>
      </c>
      <c r="CH5" s="18">
        <f>'SEP 11'!CH55</f>
        <v>2.9318200000000001</v>
      </c>
      <c r="CI5" s="18">
        <f>'SEP 11'!CI55</f>
        <v>838131.49843999918</v>
      </c>
      <c r="CJ5" s="18">
        <f>'SEP 11'!CJ55</f>
        <v>633799.52503999975</v>
      </c>
      <c r="CK5" s="18">
        <f>'SEP 11'!CK55</f>
        <v>0</v>
      </c>
      <c r="CL5" s="18">
        <f>'SEP 11'!CL55</f>
        <v>0</v>
      </c>
      <c r="CM5" s="18">
        <f>'SEP 11'!CM55</f>
        <v>79545.207070000004</v>
      </c>
      <c r="CN5" s="18">
        <f>'SEP 11'!CN55</f>
        <v>647657.33605000004</v>
      </c>
      <c r="CO5" s="18">
        <f>'SEP 11'!CO55</f>
        <v>736464.8368199995</v>
      </c>
      <c r="CP5" s="18">
        <f>'SEP 11'!CP55</f>
        <v>9152723.6727600005</v>
      </c>
      <c r="CQ5" s="18">
        <f>'SEP 11'!CQ55</f>
        <v>377715.39094000001</v>
      </c>
      <c r="CR5" s="18">
        <f>'SEP 11'!CR55</f>
        <v>903266.84160000039</v>
      </c>
      <c r="CS5" s="18">
        <f>'SEP 11'!CS55</f>
        <v>5013.4199999999992</v>
      </c>
      <c r="CT5" s="18">
        <f>'SEP 11'!CT55</f>
        <v>20149.387893799994</v>
      </c>
      <c r="CU5" s="18">
        <f>'SEP 11'!CU55</f>
        <v>5013.4199999999992</v>
      </c>
      <c r="CV5" s="18">
        <f>'SEP 11'!CV55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397382228.26048088</v>
      </c>
    </row>
    <row r="6" spans="1:101" s="20" customFormat="1" x14ac:dyDescent="0.3">
      <c r="A6" s="173"/>
      <c r="B6" s="19"/>
      <c r="C6" s="19" t="s">
        <v>91</v>
      </c>
      <c r="D6" s="19">
        <v>-30322.131670000002</v>
      </c>
      <c r="E6" s="19">
        <v>3756700.0011000112</v>
      </c>
      <c r="F6" s="19">
        <v>-21591920.775990006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-172915.15534084002</v>
      </c>
      <c r="AM6" s="19">
        <v>-76255.513619999983</v>
      </c>
      <c r="AN6" s="19">
        <v>-32658.660899999999</v>
      </c>
      <c r="AO6" s="19">
        <v>124493.66906999995</v>
      </c>
      <c r="AP6" s="19">
        <v>-5330993.3538499996</v>
      </c>
      <c r="AQ6" s="19">
        <v>2860550.7817499996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3781</v>
      </c>
      <c r="BU6" s="19">
        <v>14757.923579999999</v>
      </c>
      <c r="BV6" s="19">
        <v>0</v>
      </c>
      <c r="BW6" s="19">
        <v>198.66500000000815</v>
      </c>
      <c r="BX6" s="19">
        <v>0</v>
      </c>
      <c r="BY6" s="19">
        <v>-7563.4544100000339</v>
      </c>
      <c r="BZ6" s="19">
        <v>-1776485.9041099995</v>
      </c>
      <c r="CA6" s="19">
        <v>-1334366.0169700007</v>
      </c>
      <c r="CB6" s="19">
        <v>0</v>
      </c>
      <c r="CC6" s="19">
        <v>3629.030999999959</v>
      </c>
      <c r="CD6" s="19">
        <v>0</v>
      </c>
      <c r="CE6" s="19">
        <v>0</v>
      </c>
      <c r="CF6" s="19">
        <v>73.255000000121072</v>
      </c>
      <c r="CG6" s="19">
        <v>0</v>
      </c>
      <c r="CH6" s="19">
        <v>0</v>
      </c>
      <c r="CI6" s="19">
        <v>178855.50300000003</v>
      </c>
      <c r="CJ6" s="19">
        <v>19500.701160000055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-15118.437089999999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404314.37913994514</v>
      </c>
      <c r="E8" s="18">
        <f t="shared" si="0"/>
        <v>16213537.079703057</v>
      </c>
      <c r="F8" s="18">
        <f t="shared" si="0"/>
        <v>-12350990.286975626</v>
      </c>
      <c r="G8" s="18">
        <f t="shared" si="0"/>
        <v>0</v>
      </c>
      <c r="H8" s="18">
        <f t="shared" si="0"/>
        <v>0</v>
      </c>
      <c r="I8" s="18">
        <f t="shared" si="0"/>
        <v>75084.208914578339</v>
      </c>
      <c r="J8" s="18">
        <f t="shared" si="0"/>
        <v>0</v>
      </c>
      <c r="K8" s="18">
        <f t="shared" si="0"/>
        <v>163081.68768414296</v>
      </c>
      <c r="L8" s="18">
        <f t="shared" si="0"/>
        <v>222962.96785683144</v>
      </c>
      <c r="M8" s="18">
        <f t="shared" si="0"/>
        <v>144106.2070354897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821509.13346686657</v>
      </c>
      <c r="Q8" s="18">
        <f t="shared" si="0"/>
        <v>3232434.7135977903</v>
      </c>
      <c r="R8" s="18">
        <f t="shared" si="0"/>
        <v>4634874.7845099997</v>
      </c>
      <c r="S8" s="18">
        <f t="shared" si="0"/>
        <v>18764897.587348927</v>
      </c>
      <c r="T8" s="18">
        <f t="shared" si="0"/>
        <v>56675.350000000006</v>
      </c>
      <c r="U8" s="18">
        <f t="shared" si="0"/>
        <v>227744.79319349999</v>
      </c>
      <c r="V8" s="18">
        <f t="shared" si="0"/>
        <v>37876884.669999994</v>
      </c>
      <c r="W8" s="18">
        <f t="shared" si="0"/>
        <v>151795543.00465596</v>
      </c>
      <c r="X8" s="18">
        <f t="shared" si="0"/>
        <v>2405642.2999999998</v>
      </c>
      <c r="Y8" s="18">
        <f t="shared" si="0"/>
        <v>9665387.0747429989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25903711.799725242</v>
      </c>
      <c r="AM8" s="18">
        <f t="shared" si="0"/>
        <v>97208997.44479534</v>
      </c>
      <c r="AN8" s="18">
        <f t="shared" si="0"/>
        <v>4821383.3581500007</v>
      </c>
      <c r="AO8" s="18">
        <f t="shared" si="0"/>
        <v>968222.52890143998</v>
      </c>
      <c r="AP8" s="18">
        <f t="shared" si="0"/>
        <v>7128355.7711001448</v>
      </c>
      <c r="AQ8" s="18">
        <f t="shared" si="0"/>
        <v>3640041.0374521632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180378.02888800003</v>
      </c>
      <c r="AZ8" s="18">
        <f t="shared" si="0"/>
        <v>23756.924137323233</v>
      </c>
      <c r="BA8" s="18">
        <f t="shared" si="0"/>
        <v>206237.76072400689</v>
      </c>
      <c r="BB8" s="18">
        <f t="shared" si="0"/>
        <v>71418.953219991163</v>
      </c>
      <c r="BC8" s="18">
        <f t="shared" si="0"/>
        <v>272439.83384799853</v>
      </c>
      <c r="BD8" s="18">
        <f t="shared" si="0"/>
        <v>17407.063599989848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12966011.312768012</v>
      </c>
      <c r="BL8" s="18">
        <f t="shared" si="0"/>
        <v>115210.55867244607</v>
      </c>
      <c r="BM8" s="18">
        <f t="shared" si="0"/>
        <v>1092238.8943971638</v>
      </c>
      <c r="BN8" s="18">
        <f t="shared" si="0"/>
        <v>1244452.544107382</v>
      </c>
      <c r="BO8" s="18">
        <f t="shared" si="0"/>
        <v>3.4691202304202307E-3</v>
      </c>
      <c r="BP8" s="18">
        <f t="shared" si="0"/>
        <v>261.22763932906543</v>
      </c>
      <c r="BQ8" s="18">
        <f t="shared" si="0"/>
        <v>4.0128798844989433E-3</v>
      </c>
      <c r="BR8" s="18">
        <f t="shared" si="0"/>
        <v>535884.68600000336</v>
      </c>
      <c r="BS8" s="18">
        <f t="shared" si="0"/>
        <v>2136005.332414289</v>
      </c>
      <c r="BT8" s="18">
        <f t="shared" ref="BT8:CV8" si="1">BT5+BT6+BT7</f>
        <v>134973.95493201783</v>
      </c>
      <c r="BU8" s="18">
        <f t="shared" si="1"/>
        <v>512921.14210028778</v>
      </c>
      <c r="BV8" s="18">
        <f t="shared" si="1"/>
        <v>9298.8778600000005</v>
      </c>
      <c r="BW8" s="18">
        <f t="shared" si="1"/>
        <v>199021.15900000001</v>
      </c>
      <c r="BX8" s="18">
        <f t="shared" si="1"/>
        <v>22663.665000000001</v>
      </c>
      <c r="BY8" s="18">
        <f>+BY5+BY6+BY7:BZ7</f>
        <v>800845.51753000054</v>
      </c>
      <c r="BZ8" s="18">
        <f t="shared" si="1"/>
        <v>1299135.0141399913</v>
      </c>
      <c r="CA8" s="18">
        <f t="shared" si="1"/>
        <v>1900371.6355599924</v>
      </c>
      <c r="CB8" s="18">
        <f t="shared" si="1"/>
        <v>19818.565999999999</v>
      </c>
      <c r="CC8" s="18">
        <f t="shared" si="1"/>
        <v>1108268.78</v>
      </c>
      <c r="CD8" s="18">
        <f t="shared" si="1"/>
        <v>0</v>
      </c>
      <c r="CE8" s="18">
        <f t="shared" si="1"/>
        <v>28392.831999999995</v>
      </c>
      <c r="CF8" s="18">
        <f t="shared" si="1"/>
        <v>1329183.236</v>
      </c>
      <c r="CG8" s="18">
        <f t="shared" si="1"/>
        <v>442578.98349999997</v>
      </c>
      <c r="CH8" s="18">
        <f t="shared" si="1"/>
        <v>2.9318200000000001</v>
      </c>
      <c r="CI8" s="18">
        <f t="shared" si="1"/>
        <v>1016987.0014399992</v>
      </c>
      <c r="CJ8" s="18">
        <f t="shared" si="1"/>
        <v>653300.2261999998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888148.40451000037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373972388.38719004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665060+302292.75131</f>
        <v>967352.75130999996</v>
      </c>
      <c r="M11" s="26">
        <v>199518</v>
      </c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1166870.75131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>
        <v>2007781.25128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2007781.25128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>
        <v>-59076564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-59076564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-61817359.703000002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-61817359.703000002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34535773.759999998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34535773.759999998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>
        <v>58755525.571000002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58755525.571000002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45000</v>
      </c>
      <c r="E27" s="29"/>
      <c r="F27" s="29">
        <f>6702000+13000000</f>
        <v>19702000</v>
      </c>
      <c r="G27" s="26"/>
      <c r="H27" s="26"/>
      <c r="I27" s="26"/>
      <c r="J27" s="26"/>
      <c r="K27" s="26"/>
      <c r="L27" s="27">
        <f>19000000+5300000</f>
        <v>24300000</v>
      </c>
      <c r="M27" s="26">
        <v>80000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>
        <v>2550000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46677000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-8961000</v>
      </c>
      <c r="F28" s="26"/>
      <c r="G28" s="26"/>
      <c r="H28" s="26"/>
      <c r="I28" s="26"/>
      <c r="J28" s="26"/>
      <c r="K28" s="26"/>
      <c r="L28" s="27"/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-8961000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1450000+480000+1870000</f>
        <v>3800000</v>
      </c>
      <c r="W35" s="38">
        <f>(V35*3903.18)/1000</f>
        <v>14832084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14832084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/>
      <c r="M38" s="39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0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>
        <f>-10125.063-2015.325-1797.315-1842.321-1768.494-1791.465-1621.542-1866.189-1724.58-10814.583</f>
        <v>-35366.877</v>
      </c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-35366.877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-0.97199999999999998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f>-2.547-2.547-2.548</f>
        <v>-7.6420000000000003</v>
      </c>
      <c r="BB50" s="49">
        <f>-0.882-0.882-0.882</f>
        <v>-2.6459999999999999</v>
      </c>
      <c r="BC50" s="49">
        <f>-3.364-3.365-3.365</f>
        <v>-10.094000000000001</v>
      </c>
      <c r="BD50" s="49">
        <f>-0.215-0.215-0.215</f>
        <v>-0.64500000000000002</v>
      </c>
      <c r="BE50" s="49"/>
      <c r="BF50" s="49"/>
      <c r="BG50" s="49"/>
      <c r="BH50" s="49"/>
      <c r="BI50" s="49"/>
      <c r="BJ50" s="49"/>
      <c r="BK50" s="49"/>
      <c r="BL50" s="49">
        <v>-1.492</v>
      </c>
      <c r="BM50" s="49">
        <v>-14.141999999999999</v>
      </c>
      <c r="BN50" s="49">
        <f>-16.113-0.01</f>
        <v>-16.123000000000001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-53.756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-797.99400000000003</v>
      </c>
      <c r="F51" s="49">
        <v>-73.021000000000001</v>
      </c>
      <c r="G51" s="49"/>
      <c r="H51" s="49"/>
      <c r="I51" s="49"/>
      <c r="J51" s="49"/>
      <c r="K51" s="48"/>
      <c r="L51" s="48">
        <v>-28.905000000000001</v>
      </c>
      <c r="M51" s="48">
        <v>-12.388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-912.30799999999999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13.88819</v>
      </c>
      <c r="J52" s="49"/>
      <c r="K52" s="49"/>
      <c r="L52" s="48"/>
      <c r="M52" s="48"/>
      <c r="N52" s="49"/>
      <c r="O52" s="49"/>
      <c r="P52" s="49"/>
      <c r="Q52" s="49"/>
      <c r="R52" s="49">
        <v>352.69</v>
      </c>
      <c r="S52" s="49">
        <f>(R52*3903.18)/1000</f>
        <v>1376.6125542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f>36.381+36.387+36.393</f>
        <v>109.161</v>
      </c>
      <c r="BB52" s="49">
        <f>12.599+12.601+12.603</f>
        <v>37.803000000000004</v>
      </c>
      <c r="BC52" s="49">
        <f>48.06+48.068+48.076</f>
        <v>144.20400000000001</v>
      </c>
      <c r="BD52" s="49">
        <f>3.071+3.071+3.072</f>
        <v>9.2140000000000004</v>
      </c>
      <c r="BE52" s="49"/>
      <c r="BF52" s="49"/>
      <c r="BG52" s="49"/>
      <c r="BH52" s="49"/>
      <c r="BI52" s="49"/>
      <c r="BJ52" s="49"/>
      <c r="BK52" s="49"/>
      <c r="BL52" s="49">
        <v>21.310289999999998</v>
      </c>
      <c r="BM52" s="49">
        <v>202.02950000000001</v>
      </c>
      <c r="BN52" s="49">
        <v>230.18419</v>
      </c>
      <c r="BO52" s="49"/>
      <c r="BP52" s="49">
        <f>48.32/1000</f>
        <v>4.8320000000000002E-2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2144.4550442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-144.65948399999999</v>
      </c>
      <c r="F53" s="49">
        <f>(F10+F13+F16+F17+F33+F38+F47+F35+F40)*4/1000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-0.11562</v>
      </c>
      <c r="M53" s="48">
        <f>(M10+M13+M17+M33+M38+M40+M51+M36+M49+M16)*4/1000</f>
        <v>-4.9551999999999999E-2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-144.824656</v>
      </c>
    </row>
    <row r="54" spans="1:101" x14ac:dyDescent="0.3">
      <c r="C54" s="50" t="s">
        <v>141</v>
      </c>
      <c r="D54" s="51">
        <f t="shared" ref="D54:AM54" si="6">SUM(D9:D53)</f>
        <v>45000</v>
      </c>
      <c r="E54" s="51">
        <f t="shared" si="6"/>
        <v>-8997309.5304840021</v>
      </c>
      <c r="F54" s="51">
        <f>SUM(F9:F53)</f>
        <v>19701926.978999998</v>
      </c>
      <c r="G54" s="51">
        <f t="shared" si="6"/>
        <v>0</v>
      </c>
      <c r="H54" s="51">
        <f t="shared" si="6"/>
        <v>0</v>
      </c>
      <c r="I54" s="51">
        <f t="shared" si="6"/>
        <v>12.91619</v>
      </c>
      <c r="J54" s="51">
        <f t="shared" si="6"/>
        <v>0</v>
      </c>
      <c r="K54" s="51">
        <f t="shared" si="6"/>
        <v>0</v>
      </c>
      <c r="L54" s="52">
        <f>SUM(L9:L53)</f>
        <v>-6480.9610300030654</v>
      </c>
      <c r="M54" s="51">
        <f t="shared" si="6"/>
        <v>-41532.866551997671</v>
      </c>
      <c r="N54" s="51">
        <f t="shared" si="6"/>
        <v>0</v>
      </c>
      <c r="O54" s="51">
        <f t="shared" si="6"/>
        <v>0</v>
      </c>
      <c r="P54" s="51">
        <f t="shared" si="6"/>
        <v>0</v>
      </c>
      <c r="Q54" s="51">
        <f t="shared" si="6"/>
        <v>0</v>
      </c>
      <c r="R54" s="51">
        <f t="shared" si="6"/>
        <v>352.69</v>
      </c>
      <c r="S54" s="51">
        <f t="shared" si="6"/>
        <v>1376.6125542</v>
      </c>
      <c r="T54" s="51">
        <f t="shared" si="6"/>
        <v>0</v>
      </c>
      <c r="U54" s="51">
        <f t="shared" si="6"/>
        <v>0</v>
      </c>
      <c r="V54" s="51">
        <f t="shared" si="6"/>
        <v>3800000</v>
      </c>
      <c r="W54" s="51">
        <f t="shared" si="6"/>
        <v>14832084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101.51900000000001</v>
      </c>
      <c r="BB54" s="51">
        <f t="shared" si="7"/>
        <v>35.157000000000004</v>
      </c>
      <c r="BC54" s="51">
        <f t="shared" si="7"/>
        <v>134.11000000000001</v>
      </c>
      <c r="BD54" s="51">
        <f t="shared" si="7"/>
        <v>8.5690000000000008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19.818289999999998</v>
      </c>
      <c r="BM54" s="51">
        <f t="shared" si="7"/>
        <v>187.88750000000002</v>
      </c>
      <c r="BN54" s="51">
        <f t="shared" si="7"/>
        <v>214.06119000000001</v>
      </c>
      <c r="BO54" s="51">
        <f t="shared" si="7"/>
        <v>0</v>
      </c>
      <c r="BP54" s="51">
        <f t="shared" si="7"/>
        <v>4.8320000000000002E-2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0</v>
      </c>
      <c r="CA54" s="51">
        <f t="shared" si="7"/>
        <v>2550000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28085778.319978196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449314.37913994514</v>
      </c>
      <c r="E55" s="56">
        <f t="shared" si="8"/>
        <v>7216227.5492190551</v>
      </c>
      <c r="F55" s="56">
        <f>+F8+F54</f>
        <v>7350936.6920243725</v>
      </c>
      <c r="G55" s="56">
        <f t="shared" si="8"/>
        <v>0</v>
      </c>
      <c r="H55" s="56">
        <f t="shared" si="8"/>
        <v>0</v>
      </c>
      <c r="I55" s="56">
        <f t="shared" si="8"/>
        <v>75097.125104578343</v>
      </c>
      <c r="J55" s="56">
        <f t="shared" si="8"/>
        <v>0</v>
      </c>
      <c r="K55" s="56">
        <f t="shared" si="8"/>
        <v>163081.68768414296</v>
      </c>
      <c r="L55" s="56">
        <f t="shared" si="8"/>
        <v>216482.00682682838</v>
      </c>
      <c r="M55" s="56">
        <f t="shared" si="8"/>
        <v>102573.34048349204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821509.13346686657</v>
      </c>
      <c r="Q55" s="56">
        <f t="shared" si="8"/>
        <v>3232434.7135977903</v>
      </c>
      <c r="R55" s="56">
        <f t="shared" si="8"/>
        <v>4635227.4745100001</v>
      </c>
      <c r="S55" s="56">
        <f t="shared" si="8"/>
        <v>18766274.199903127</v>
      </c>
      <c r="T55" s="56">
        <f t="shared" si="8"/>
        <v>56675.350000000006</v>
      </c>
      <c r="U55" s="56">
        <f t="shared" si="8"/>
        <v>227744.79319349999</v>
      </c>
      <c r="V55" s="56">
        <f t="shared" si="8"/>
        <v>41676884.669999994</v>
      </c>
      <c r="W55" s="56">
        <f t="shared" si="8"/>
        <v>166627627.00465596</v>
      </c>
      <c r="X55" s="56">
        <f t="shared" si="8"/>
        <v>2405642.2999999998</v>
      </c>
      <c r="Y55" s="56">
        <f t="shared" si="8"/>
        <v>9665387.0747429989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282242.31999999727</v>
      </c>
      <c r="AI55" s="56">
        <f t="shared" si="8"/>
        <v>1134165.3611111888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25903711.799725242</v>
      </c>
      <c r="AM55" s="56">
        <f t="shared" si="8"/>
        <v>97208997.44479534</v>
      </c>
      <c r="AN55" s="56">
        <f t="shared" si="8"/>
        <v>4821383.3581500007</v>
      </c>
      <c r="AO55" s="56">
        <f t="shared" si="8"/>
        <v>968222.52890143998</v>
      </c>
      <c r="AP55" s="56">
        <f t="shared" si="8"/>
        <v>7128355.7711001448</v>
      </c>
      <c r="AQ55" s="56">
        <f t="shared" si="8"/>
        <v>3640041.0374521632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180378.02888800003</v>
      </c>
      <c r="AZ55" s="56">
        <f t="shared" si="8"/>
        <v>23756.924137323233</v>
      </c>
      <c r="BA55" s="56">
        <f t="shared" si="8"/>
        <v>206339.27972400689</v>
      </c>
      <c r="BB55" s="56">
        <f t="shared" si="8"/>
        <v>71454.110219991169</v>
      </c>
      <c r="BC55" s="56">
        <f t="shared" si="8"/>
        <v>272573.94384799851</v>
      </c>
      <c r="BD55" s="56">
        <f t="shared" si="8"/>
        <v>17415.632599989847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12966011.312768012</v>
      </c>
      <c r="BL55" s="56">
        <f t="shared" si="8"/>
        <v>115230.37696244607</v>
      </c>
      <c r="BM55" s="56">
        <f t="shared" si="8"/>
        <v>1092426.7818971637</v>
      </c>
      <c r="BN55" s="56">
        <f t="shared" si="8"/>
        <v>1244666.605297382</v>
      </c>
      <c r="BO55" s="56">
        <f t="shared" si="8"/>
        <v>3.4691202304202307E-3</v>
      </c>
      <c r="BP55" s="56">
        <f t="shared" si="8"/>
        <v>261.27595932906542</v>
      </c>
      <c r="BQ55" s="56">
        <f t="shared" si="8"/>
        <v>4.0128798844989433E-3</v>
      </c>
      <c r="BR55" s="56">
        <f t="shared" si="8"/>
        <v>535884.68600000336</v>
      </c>
      <c r="BS55" s="56">
        <f t="shared" si="8"/>
        <v>2136005.332414289</v>
      </c>
      <c r="BT55" s="56">
        <f t="shared" ref="BT55:CV55" si="9">+BT8+BT54</f>
        <v>134973.95493201783</v>
      </c>
      <c r="BU55" s="56">
        <f t="shared" si="9"/>
        <v>512921.14210028778</v>
      </c>
      <c r="BV55" s="56">
        <f t="shared" si="9"/>
        <v>9298.8778600000005</v>
      </c>
      <c r="BW55" s="56">
        <f t="shared" si="9"/>
        <v>199021.15900000001</v>
      </c>
      <c r="BX55" s="56">
        <f t="shared" si="9"/>
        <v>22663.665000000001</v>
      </c>
      <c r="BY55" s="56">
        <f t="shared" si="9"/>
        <v>800845.51753000054</v>
      </c>
      <c r="BZ55" s="56">
        <f t="shared" si="9"/>
        <v>1299135.0141399913</v>
      </c>
      <c r="CA55" s="56">
        <f t="shared" si="9"/>
        <v>4450371.6355599929</v>
      </c>
      <c r="CB55" s="56">
        <f t="shared" si="9"/>
        <v>19818.565999999999</v>
      </c>
      <c r="CC55" s="56">
        <f t="shared" si="9"/>
        <v>1108268.78</v>
      </c>
      <c r="CD55" s="56">
        <f t="shared" si="9"/>
        <v>0</v>
      </c>
      <c r="CE55" s="56">
        <f t="shared" si="9"/>
        <v>28392.831999999995</v>
      </c>
      <c r="CF55" s="56">
        <f t="shared" si="9"/>
        <v>1329183.236</v>
      </c>
      <c r="CG55" s="56">
        <f t="shared" si="9"/>
        <v>442578.98349999997</v>
      </c>
      <c r="CH55" s="56">
        <f t="shared" si="9"/>
        <v>2.9318200000000001</v>
      </c>
      <c r="CI55" s="56">
        <f t="shared" si="9"/>
        <v>1016987.0014399992</v>
      </c>
      <c r="CJ55" s="56">
        <f t="shared" si="9"/>
        <v>653300.2261999998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888148.40451000037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402058166.70716834</v>
      </c>
    </row>
    <row r="56" spans="1:101" x14ac:dyDescent="0.3">
      <c r="D56" s="57" t="s">
        <v>143</v>
      </c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57"/>
      <c r="O57" s="57"/>
      <c r="P57" s="68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73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73"/>
      <c r="Q59" s="73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143142951.33359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73"/>
      <c r="Q60" s="73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34535773.759999998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59"/>
      <c r="BY61" s="59"/>
      <c r="BZ61" s="57"/>
      <c r="CA61" s="59"/>
      <c r="CD61" s="59"/>
    </row>
    <row r="62" spans="1:101" x14ac:dyDescent="0.3">
      <c r="B62" s="165"/>
      <c r="C62" s="87" t="s">
        <v>152</v>
      </c>
      <c r="D62" s="88">
        <f>CW11+CW15</f>
        <v>1166870.75131</v>
      </c>
      <c r="E62" s="67" t="s">
        <v>205</v>
      </c>
      <c r="F62" s="89" t="s">
        <v>153</v>
      </c>
      <c r="G62" s="91">
        <f>P55</f>
        <v>821509.13346686657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46677000</v>
      </c>
      <c r="E63" s="67" t="s">
        <v>205</v>
      </c>
      <c r="F63" s="89" t="s">
        <v>155</v>
      </c>
      <c r="G63" s="91">
        <f>R55</f>
        <v>4635227.4745100001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60763306.822280005</v>
      </c>
      <c r="E64" s="67" t="s">
        <v>205</v>
      </c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56675.350000000006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41676884.669999994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2405642.2999999998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-129890290.58000001</v>
      </c>
      <c r="E73" s="71"/>
      <c r="F73" s="114" t="s">
        <v>163</v>
      </c>
      <c r="G73" s="115">
        <f>L55*1000</f>
        <v>216482006.82682839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102573340.48349203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-59076564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-61817359.703000002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-8961000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0</v>
      </c>
      <c r="E81" s="101"/>
      <c r="F81" s="128" t="s">
        <v>172</v>
      </c>
      <c r="G81" s="126">
        <f>AH55</f>
        <v>282242.31999999727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-35366.877</v>
      </c>
      <c r="E82" s="71" t="s">
        <v>205</v>
      </c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206237.76072400689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109.161</v>
      </c>
      <c r="L92" s="143">
        <f>BA50+BA51+BA53+BA40+BA42+BA43+BA45</f>
        <v>-7.6420000000000003</v>
      </c>
      <c r="M92" s="144">
        <f t="shared" si="10"/>
        <v>206339.27972400689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272439.83384799853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144.20400000000001</v>
      </c>
      <c r="L98" s="143">
        <f>BC50+BC51+BC53+BC40+BC42+BC43+BC45</f>
        <v>-10.094000000000001</v>
      </c>
      <c r="M98" s="144">
        <f t="shared" si="10"/>
        <v>272573.94384799857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71418.953219991163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37.803000000000004</v>
      </c>
      <c r="L99" s="143">
        <f>BB50+BB51+BB53+BB40+BB42+BB43+BB45</f>
        <v>-2.6459999999999999</v>
      </c>
      <c r="M99" s="144">
        <f t="shared" si="10"/>
        <v>71454.110219991169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17407.063599989848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9.2140000000000004</v>
      </c>
      <c r="L104" s="143">
        <f>BD50+BD51+BD53+BD40+BD42+BD43+BD45</f>
        <v>-0.64500000000000002</v>
      </c>
      <c r="M104" s="144">
        <f t="shared" si="10"/>
        <v>17415.632599989847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180378.02888800003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180378.02888800003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608407.55869167938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109.161</v>
      </c>
      <c r="L108" s="98">
        <f t="shared" si="11"/>
        <v>-7.6420000000000003</v>
      </c>
      <c r="M108" s="98">
        <f t="shared" si="11"/>
        <v>608509.07769167935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847496.44577235274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182.00700000000001</v>
      </c>
      <c r="L109" s="98">
        <f t="shared" si="12"/>
        <v>-12.740000000000002</v>
      </c>
      <c r="M109" s="98">
        <f t="shared" si="12"/>
        <v>847665.71277235285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457758.66899143008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9.2140000000000004</v>
      </c>
      <c r="L110" s="98">
        <f t="shared" si="13"/>
        <v>-0.64500000000000002</v>
      </c>
      <c r="M110" s="98">
        <f t="shared" si="13"/>
        <v>457767.2379914301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  <mergeCell ref="A9:A29"/>
    <mergeCell ref="D1:BK1"/>
    <mergeCell ref="BL1:BN1"/>
    <mergeCell ref="BR1:CJ1"/>
    <mergeCell ref="CW2:CW4"/>
    <mergeCell ref="A5:A8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12'!D55</f>
        <v>449314.37913994514</v>
      </c>
      <c r="E5" s="18">
        <f>'SEP 12'!E55</f>
        <v>7216227.5492190551</v>
      </c>
      <c r="F5" s="18">
        <f>'SEP 12'!F55</f>
        <v>7350936.6920243725</v>
      </c>
      <c r="G5" s="18">
        <f>'SEP 12'!G55</f>
        <v>0</v>
      </c>
      <c r="H5" s="18">
        <f>'SEP 12'!H55</f>
        <v>0</v>
      </c>
      <c r="I5" s="18">
        <f>'SEP 12'!I55</f>
        <v>75097.125104578343</v>
      </c>
      <c r="J5" s="18">
        <f>'SEP 12'!J55</f>
        <v>0</v>
      </c>
      <c r="K5" s="18">
        <f>'SEP 12'!K55</f>
        <v>163081.68768414296</v>
      </c>
      <c r="L5" s="18">
        <f>'SEP 12'!L55</f>
        <v>216482.00682682838</v>
      </c>
      <c r="M5" s="18">
        <f>'SEP 12'!M55</f>
        <v>102573.34048349204</v>
      </c>
      <c r="N5" s="18">
        <f>'SEP 12'!N55</f>
        <v>120822.5199999999</v>
      </c>
      <c r="O5" s="18">
        <f>'SEP 12'!O55</f>
        <v>485514.42259319959</v>
      </c>
      <c r="P5" s="18">
        <f>'SEP 12'!P55</f>
        <v>821509.13346686657</v>
      </c>
      <c r="Q5" s="18">
        <f>'SEP 12'!Q55</f>
        <v>3232434.7135977903</v>
      </c>
      <c r="R5" s="18">
        <f>'SEP 12'!R55</f>
        <v>4635227.4745100001</v>
      </c>
      <c r="S5" s="18">
        <f>'SEP 12'!S55</f>
        <v>18766274.199903127</v>
      </c>
      <c r="T5" s="18">
        <f>'SEP 12'!T55</f>
        <v>56675.350000000006</v>
      </c>
      <c r="U5" s="18">
        <f>'SEP 12'!U55</f>
        <v>227744.79319349999</v>
      </c>
      <c r="V5" s="18">
        <f>'SEP 12'!V55</f>
        <v>41676884.669999994</v>
      </c>
      <c r="W5" s="18">
        <f>'SEP 12'!W55</f>
        <v>166627627.00465596</v>
      </c>
      <c r="X5" s="18">
        <f>'SEP 12'!X55</f>
        <v>2405642.2999999998</v>
      </c>
      <c r="Y5" s="18">
        <f>'SEP 12'!Y55</f>
        <v>9665387.0747429989</v>
      </c>
      <c r="Z5" s="18">
        <f>'SEP 12'!Z55</f>
        <v>9662.5274983807467</v>
      </c>
      <c r="AA5" s="18">
        <f>'SEP 12'!AA55</f>
        <v>38827.997124768175</v>
      </c>
      <c r="AB5" s="18">
        <f>'SEP 12'!AB55</f>
        <v>7542.7499999967404</v>
      </c>
      <c r="AC5" s="18">
        <f>'SEP 12'!AC55</f>
        <v>30309.862027486903</v>
      </c>
      <c r="AD5" s="18">
        <f>'SEP 12'!AD55</f>
        <v>5155</v>
      </c>
      <c r="AE5" s="18">
        <f>'SEP 12'!AE55</f>
        <v>20714.903549999999</v>
      </c>
      <c r="AF5" s="18">
        <f>'SEP 12'!AF55</f>
        <v>7956.8699999451637</v>
      </c>
      <c r="AG5" s="18">
        <f>'SEP 12'!AG55</f>
        <v>31973.965976479645</v>
      </c>
      <c r="AH5" s="18">
        <f>'SEP 12'!AH55</f>
        <v>282242.31999999727</v>
      </c>
      <c r="AI5" s="18">
        <f>'SEP 12'!AI55</f>
        <v>1134165.3611111888</v>
      </c>
      <c r="AJ5" s="18">
        <f>'SEP 12'!AJ55</f>
        <v>675895.70999999822</v>
      </c>
      <c r="AK5" s="18">
        <f>'SEP 12'!AK55</f>
        <v>2716026.0800210927</v>
      </c>
      <c r="AL5" s="18">
        <f>'SEP 12'!AL55</f>
        <v>25903711.799725242</v>
      </c>
      <c r="AM5" s="18">
        <f>'SEP 12'!AM55</f>
        <v>97208997.44479534</v>
      </c>
      <c r="AN5" s="18">
        <f>'SEP 12'!AN55</f>
        <v>4821383.3581500007</v>
      </c>
      <c r="AO5" s="18">
        <f>'SEP 12'!AO55</f>
        <v>968222.52890143998</v>
      </c>
      <c r="AP5" s="18">
        <f>'SEP 12'!AP55</f>
        <v>7128355.7711001448</v>
      </c>
      <c r="AQ5" s="18">
        <f>'SEP 12'!AQ55</f>
        <v>3640041.0374521632</v>
      </c>
      <c r="AR5" s="18">
        <f>'SEP 12'!AR55</f>
        <v>33467.106463993005</v>
      </c>
      <c r="AS5" s="18">
        <f>'SEP 12'!AS55</f>
        <v>6.3419079996137473</v>
      </c>
      <c r="AT5" s="18">
        <f>'SEP 12'!AT55</f>
        <v>11.326432002509915</v>
      </c>
      <c r="AU5" s="18">
        <f>'SEP 12'!AU55</f>
        <v>70852.565203997277</v>
      </c>
      <c r="AV5" s="18">
        <f>'SEP 12'!AV55</f>
        <v>529097.77060280275</v>
      </c>
      <c r="AW5" s="18">
        <f>'SEP 12'!AW55</f>
        <v>87470.533549996806</v>
      </c>
      <c r="AX5" s="18">
        <f>'SEP 12'!AX55</f>
        <v>1064.5961240010877</v>
      </c>
      <c r="AY5" s="18">
        <f>'SEP 12'!AY55</f>
        <v>180378.02888800003</v>
      </c>
      <c r="AZ5" s="18">
        <f>'SEP 12'!AZ55</f>
        <v>23756.924137323233</v>
      </c>
      <c r="BA5" s="18">
        <f>'SEP 12'!BA55</f>
        <v>206339.27972400689</v>
      </c>
      <c r="BB5" s="18">
        <f>'SEP 12'!BB55</f>
        <v>71454.110219991169</v>
      </c>
      <c r="BC5" s="18">
        <f>'SEP 12'!BC55</f>
        <v>272573.94384799851</v>
      </c>
      <c r="BD5" s="18">
        <f>'SEP 12'!BD55</f>
        <v>17415.632599989847</v>
      </c>
      <c r="BE5" s="18">
        <f>'SEP 12'!BE55</f>
        <v>256626.99715368054</v>
      </c>
      <c r="BF5" s="18">
        <f>'SEP 12'!BF55</f>
        <v>294827.49323035986</v>
      </c>
      <c r="BG5" s="18">
        <f>'SEP 12'!BG55</f>
        <v>35110.408018882757</v>
      </c>
      <c r="BH5" s="18">
        <f>'SEP 12'!BH55</f>
        <v>24605.160800002101</v>
      </c>
      <c r="BI5" s="18">
        <f>'SEP 12'!BI55</f>
        <v>207727.90101</v>
      </c>
      <c r="BJ5" s="18">
        <f>'SEP 12'!BJ55</f>
        <v>154010.6032805602</v>
      </c>
      <c r="BK5" s="18">
        <f>'SEP 12'!BK55</f>
        <v>12966011.312768012</v>
      </c>
      <c r="BL5" s="18">
        <f>'SEP 12'!BL55</f>
        <v>115230.37696244607</v>
      </c>
      <c r="BM5" s="18">
        <f>'SEP 12'!BM55</f>
        <v>1092426.7818971637</v>
      </c>
      <c r="BN5" s="18">
        <f>'SEP 12'!BN55</f>
        <v>1244666.605297382</v>
      </c>
      <c r="BO5" s="18">
        <f>'SEP 12'!BO55</f>
        <v>3.4691202304202307E-3</v>
      </c>
      <c r="BP5" s="18">
        <f>'SEP 12'!BP55</f>
        <v>261.27595932906542</v>
      </c>
      <c r="BQ5" s="18">
        <f>'SEP 12'!BQ55</f>
        <v>4.0128798844989433E-3</v>
      </c>
      <c r="BR5" s="18">
        <f>'SEP 12'!BR55</f>
        <v>535884.68600000336</v>
      </c>
      <c r="BS5" s="18">
        <f>'SEP 12'!BS55</f>
        <v>2136005.332414289</v>
      </c>
      <c r="BT5" s="18">
        <f>'SEP 12'!BT55</f>
        <v>134973.95493201783</v>
      </c>
      <c r="BU5" s="18">
        <f>'SEP 12'!BU55</f>
        <v>512921.14210028778</v>
      </c>
      <c r="BV5" s="18">
        <f>'SEP 12'!BV55</f>
        <v>9298.8778600000005</v>
      </c>
      <c r="BW5" s="18">
        <f>'SEP 12'!BW55</f>
        <v>199021.15900000001</v>
      </c>
      <c r="BX5" s="18">
        <f>'SEP 12'!BX55</f>
        <v>22663.665000000001</v>
      </c>
      <c r="BY5" s="18">
        <f>'SEP 12'!BY55</f>
        <v>800845.51753000054</v>
      </c>
      <c r="BZ5" s="18">
        <f>'SEP 12'!BZ55</f>
        <v>1299135.0141399913</v>
      </c>
      <c r="CA5" s="18">
        <f>'SEP 12'!CA55</f>
        <v>4450371.6355599929</v>
      </c>
      <c r="CB5" s="18">
        <f>'SEP 12'!CB55</f>
        <v>19818.565999999999</v>
      </c>
      <c r="CC5" s="18">
        <f>'SEP 12'!CC55</f>
        <v>1108268.78</v>
      </c>
      <c r="CD5" s="18">
        <f>'SEP 12'!CD55</f>
        <v>0</v>
      </c>
      <c r="CE5" s="18">
        <f>'SEP 12'!CE55</f>
        <v>28392.831999999995</v>
      </c>
      <c r="CF5" s="18">
        <f>'SEP 12'!CF55</f>
        <v>1329183.236</v>
      </c>
      <c r="CG5" s="18">
        <f>'SEP 12'!CG55</f>
        <v>442578.98349999997</v>
      </c>
      <c r="CH5" s="18">
        <f>'SEP 12'!CH55</f>
        <v>2.9318200000000001</v>
      </c>
      <c r="CI5" s="18">
        <f>'SEP 12'!CI55</f>
        <v>1016987.0014399992</v>
      </c>
      <c r="CJ5" s="18">
        <f>'SEP 12'!CJ55</f>
        <v>653300.2261999998</v>
      </c>
      <c r="CK5" s="18">
        <f>'SEP 12'!CK55</f>
        <v>0</v>
      </c>
      <c r="CL5" s="18">
        <f>'SEP 12'!CL55</f>
        <v>0</v>
      </c>
      <c r="CM5" s="18">
        <f>'SEP 12'!CM55</f>
        <v>79545.207070000004</v>
      </c>
      <c r="CN5" s="18">
        <f>'SEP 12'!CN55</f>
        <v>647657.33605000004</v>
      </c>
      <c r="CO5" s="18">
        <f>'SEP 12'!CO55</f>
        <v>736464.8368199995</v>
      </c>
      <c r="CP5" s="18">
        <f>'SEP 12'!CP55</f>
        <v>9152723.6727600005</v>
      </c>
      <c r="CQ5" s="18">
        <f>'SEP 12'!CQ55</f>
        <v>377715.39094000001</v>
      </c>
      <c r="CR5" s="18">
        <f>'SEP 12'!CR55</f>
        <v>888148.40451000037</v>
      </c>
      <c r="CS5" s="18">
        <f>'SEP 12'!CS55</f>
        <v>5013.4199999999992</v>
      </c>
      <c r="CT5" s="18">
        <f>'SEP 12'!CT55</f>
        <v>20149.387893799994</v>
      </c>
      <c r="CU5" s="18">
        <f>'SEP 12'!CU55</f>
        <v>5013.4199999999992</v>
      </c>
      <c r="CV5" s="18">
        <f>'SEP 12'!CV55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402058166.70716834</v>
      </c>
    </row>
    <row r="6" spans="1:101" s="20" customFormat="1" x14ac:dyDescent="0.3">
      <c r="A6" s="173"/>
      <c r="B6" s="19"/>
      <c r="C6" s="19" t="s">
        <v>91</v>
      </c>
      <c r="D6" s="19">
        <v>-64438.324919999985</v>
      </c>
      <c r="E6" s="19">
        <v>4030552.7618199973</v>
      </c>
      <c r="F6" s="19">
        <v>5559058.0512199961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62580.35</v>
      </c>
      <c r="BU6" s="19">
        <v>244453.86638399999</v>
      </c>
      <c r="BV6" s="19">
        <v>0</v>
      </c>
      <c r="BW6" s="19">
        <v>644.83399999997346</v>
      </c>
      <c r="BX6" s="19">
        <v>0</v>
      </c>
      <c r="BY6" s="19">
        <v>-3121.5506799999675</v>
      </c>
      <c r="BZ6" s="19">
        <v>-3810571.97713</v>
      </c>
      <c r="CA6" s="19">
        <v>-2870045.8902399996</v>
      </c>
      <c r="CB6" s="19">
        <v>0</v>
      </c>
      <c r="CC6" s="19">
        <v>0</v>
      </c>
      <c r="CD6" s="19">
        <v>0</v>
      </c>
      <c r="CE6" s="19">
        <v>0</v>
      </c>
      <c r="CF6" s="19">
        <v>29712.716000000015</v>
      </c>
      <c r="CG6" s="19">
        <v>1220.9050000000279</v>
      </c>
      <c r="CH6" s="19">
        <v>0</v>
      </c>
      <c r="CI6" s="19">
        <v>13586.010000000009</v>
      </c>
      <c r="CJ6" s="19">
        <v>99828.047840000014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384876.05421994516</v>
      </c>
      <c r="E8" s="18">
        <f t="shared" si="0"/>
        <v>11246780.311039053</v>
      </c>
      <c r="F8" s="18">
        <f t="shared" si="0"/>
        <v>12909994.743244369</v>
      </c>
      <c r="G8" s="18">
        <f t="shared" si="0"/>
        <v>0</v>
      </c>
      <c r="H8" s="18">
        <f t="shared" si="0"/>
        <v>0</v>
      </c>
      <c r="I8" s="18">
        <f t="shared" si="0"/>
        <v>75097.125104578343</v>
      </c>
      <c r="J8" s="18">
        <f t="shared" si="0"/>
        <v>0</v>
      </c>
      <c r="K8" s="18">
        <f t="shared" si="0"/>
        <v>163081.68768414296</v>
      </c>
      <c r="L8" s="18">
        <f t="shared" si="0"/>
        <v>216482.00682682838</v>
      </c>
      <c r="M8" s="18">
        <f t="shared" si="0"/>
        <v>102573.34048349204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821509.13346686657</v>
      </c>
      <c r="Q8" s="18">
        <f t="shared" si="0"/>
        <v>3232434.7135977903</v>
      </c>
      <c r="R8" s="18">
        <f t="shared" si="0"/>
        <v>4635227.4745100001</v>
      </c>
      <c r="S8" s="18">
        <f t="shared" si="0"/>
        <v>18766274.199903127</v>
      </c>
      <c r="T8" s="18">
        <f t="shared" si="0"/>
        <v>56675.350000000006</v>
      </c>
      <c r="U8" s="18">
        <f t="shared" si="0"/>
        <v>227744.79319349999</v>
      </c>
      <c r="V8" s="18">
        <f t="shared" si="0"/>
        <v>41676884.669999994</v>
      </c>
      <c r="W8" s="18">
        <f t="shared" si="0"/>
        <v>166627627.00465596</v>
      </c>
      <c r="X8" s="18">
        <f t="shared" si="0"/>
        <v>2405642.2999999998</v>
      </c>
      <c r="Y8" s="18">
        <f t="shared" si="0"/>
        <v>9665387.0747429989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25903711.799725242</v>
      </c>
      <c r="AM8" s="18">
        <f t="shared" si="0"/>
        <v>97208997.44479534</v>
      </c>
      <c r="AN8" s="18">
        <f t="shared" si="0"/>
        <v>4821383.3581500007</v>
      </c>
      <c r="AO8" s="18">
        <f t="shared" si="0"/>
        <v>968222.52890143998</v>
      </c>
      <c r="AP8" s="18">
        <f t="shared" si="0"/>
        <v>7128355.7711001448</v>
      </c>
      <c r="AQ8" s="18">
        <f t="shared" si="0"/>
        <v>3640041.0374521632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180378.02888800003</v>
      </c>
      <c r="AZ8" s="18">
        <f t="shared" si="0"/>
        <v>23756.924137323233</v>
      </c>
      <c r="BA8" s="18">
        <f t="shared" si="0"/>
        <v>206339.27972400689</v>
      </c>
      <c r="BB8" s="18">
        <f t="shared" si="0"/>
        <v>71454.110219991169</v>
      </c>
      <c r="BC8" s="18">
        <f t="shared" si="0"/>
        <v>272573.94384799851</v>
      </c>
      <c r="BD8" s="18">
        <f t="shared" si="0"/>
        <v>17415.632599989847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12966011.312768012</v>
      </c>
      <c r="BL8" s="18">
        <f t="shared" si="0"/>
        <v>115230.37696244607</v>
      </c>
      <c r="BM8" s="18">
        <f t="shared" si="0"/>
        <v>1092426.7818971637</v>
      </c>
      <c r="BN8" s="18">
        <f t="shared" si="0"/>
        <v>1244666.605297382</v>
      </c>
      <c r="BO8" s="18">
        <f t="shared" si="0"/>
        <v>3.4691202304202307E-3</v>
      </c>
      <c r="BP8" s="18">
        <f t="shared" si="0"/>
        <v>261.27595932906542</v>
      </c>
      <c r="BQ8" s="18">
        <f t="shared" si="0"/>
        <v>4.0128798844989433E-3</v>
      </c>
      <c r="BR8" s="18">
        <f t="shared" si="0"/>
        <v>535884.68600000336</v>
      </c>
      <c r="BS8" s="18">
        <f t="shared" si="0"/>
        <v>2136005.332414289</v>
      </c>
      <c r="BT8" s="18">
        <f t="shared" ref="BT8:CV8" si="1">BT5+BT6+BT7</f>
        <v>197554.30493201784</v>
      </c>
      <c r="BU8" s="18">
        <f t="shared" si="1"/>
        <v>757375.00848428777</v>
      </c>
      <c r="BV8" s="18">
        <f t="shared" si="1"/>
        <v>9298.8778600000005</v>
      </c>
      <c r="BW8" s="18">
        <f t="shared" si="1"/>
        <v>199665.99299999999</v>
      </c>
      <c r="BX8" s="18">
        <f t="shared" si="1"/>
        <v>22663.665000000001</v>
      </c>
      <c r="BY8" s="18">
        <f>+BY5+BY6+BY7:BZ7</f>
        <v>797723.96685000055</v>
      </c>
      <c r="BZ8" s="18">
        <f t="shared" si="1"/>
        <v>-2511436.9629900088</v>
      </c>
      <c r="CA8" s="18">
        <f t="shared" si="1"/>
        <v>1580325.7453199932</v>
      </c>
      <c r="CB8" s="18">
        <f t="shared" si="1"/>
        <v>19818.565999999999</v>
      </c>
      <c r="CC8" s="18">
        <f t="shared" si="1"/>
        <v>1108268.78</v>
      </c>
      <c r="CD8" s="18">
        <f t="shared" si="1"/>
        <v>0</v>
      </c>
      <c r="CE8" s="18">
        <f t="shared" si="1"/>
        <v>28392.831999999995</v>
      </c>
      <c r="CF8" s="18">
        <f t="shared" si="1"/>
        <v>1358895.952</v>
      </c>
      <c r="CG8" s="18">
        <f t="shared" si="1"/>
        <v>443799.8885</v>
      </c>
      <c r="CH8" s="18">
        <f t="shared" si="1"/>
        <v>2.9318200000000001</v>
      </c>
      <c r="CI8" s="18">
        <f t="shared" si="1"/>
        <v>1030573.0114399992</v>
      </c>
      <c r="CJ8" s="18">
        <f t="shared" si="1"/>
        <v>753128.27403999981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888148.40451000037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405289046.15646231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332340+21783+75012+2173.18901</f>
        <v>431308.18900999997</v>
      </c>
      <c r="M11" s="26">
        <v>231130</v>
      </c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662438.18900999997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>
        <v>50087.071170000003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50087.071170000003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>
        <v>-14260582</v>
      </c>
      <c r="M20" s="29">
        <v>-59106852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-73367434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-72522488.518999994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-72522488.518999994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100309264.436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100309264.436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>
        <v>68203776.224999994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68203776.224999994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23000</v>
      </c>
      <c r="E27" s="29">
        <v>9876000</v>
      </c>
      <c r="F27" s="29">
        <v>4716000</v>
      </c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4700000</v>
      </c>
      <c r="CA27" s="26">
        <v>2000000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21315000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/>
      <c r="F28" s="26"/>
      <c r="G28" s="26"/>
      <c r="H28" s="26"/>
      <c r="I28" s="26"/>
      <c r="J28" s="26"/>
      <c r="K28" s="26"/>
      <c r="L28" s="27">
        <v>-12500000</v>
      </c>
      <c r="M28" s="26">
        <v>-8700000</v>
      </c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-21200000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>
        <v>-8051353.699</v>
      </c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-8051353.699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>
        <v>20550.833330000001</v>
      </c>
      <c r="M35" s="38"/>
      <c r="N35" s="38"/>
      <c r="O35" s="38"/>
      <c r="P35" s="38">
        <f>266083.83+325836.39+36605.61</f>
        <v>628525.82999999996</v>
      </c>
      <c r="Q35" s="38">
        <f>+(P35*3906.24)/1000</f>
        <v>2455172.7381791999</v>
      </c>
      <c r="R35" s="38"/>
      <c r="S35" s="38"/>
      <c r="T35" s="38"/>
      <c r="U35" s="38"/>
      <c r="V35" s="38">
        <f>410000+870000+350000</f>
        <v>1630000</v>
      </c>
      <c r="W35" s="38">
        <f>+(V35*3906.24)/1000</f>
        <v>6367171.2000000002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8842894.7715092003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v>-1433800</v>
      </c>
      <c r="M38" s="39">
        <v>-573520</v>
      </c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-2007320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>
        <v>4192745.2579999999</v>
      </c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4192745.2579999999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f>-2.918-12.89</f>
        <v>-15.808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-2.548</v>
      </c>
      <c r="BB50" s="49">
        <v>-0.88200000000000001</v>
      </c>
      <c r="BC50" s="49">
        <v>-3.3660000000000001</v>
      </c>
      <c r="BD50" s="49">
        <v>-0.215</v>
      </c>
      <c r="BE50" s="49"/>
      <c r="BF50" s="49"/>
      <c r="BG50" s="49"/>
      <c r="BH50" s="49"/>
      <c r="BI50" s="49"/>
      <c r="BJ50" s="49"/>
      <c r="BK50" s="49">
        <v>-260.22699999999998</v>
      </c>
      <c r="BL50" s="49">
        <v>-4.476</v>
      </c>
      <c r="BM50" s="49">
        <v>-42.44</v>
      </c>
      <c r="BN50" s="49">
        <v>-48.354999999999997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-378.31700000000001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-2333.0909999999999</v>
      </c>
      <c r="F51" s="49">
        <v>-219.91499999999999</v>
      </c>
      <c r="G51" s="49"/>
      <c r="H51" s="49"/>
      <c r="I51" s="49"/>
      <c r="J51" s="49"/>
      <c r="K51" s="48"/>
      <c r="L51" s="48">
        <v>-16.516999999999999</v>
      </c>
      <c r="M51" s="48">
        <v>-8.2590000000000003</v>
      </c>
      <c r="N51" s="49"/>
      <c r="O51" s="49"/>
      <c r="P51" s="49"/>
      <c r="Q51" s="49"/>
      <c r="R51" s="49"/>
      <c r="S51" s="49"/>
      <c r="T51" s="49">
        <v>-100.1</v>
      </c>
      <c r="U51" s="49">
        <f>+(T51*3906.24)/1000</f>
        <v>-391.01462399999997</v>
      </c>
      <c r="V51" s="49">
        <v>-513.70000000000005</v>
      </c>
      <c r="W51" s="49">
        <f>+(V51*3906.24)/1000</f>
        <v>-2006.6354880000001</v>
      </c>
      <c r="X51" s="49">
        <v>-133.19999999999999</v>
      </c>
      <c r="Y51" s="49">
        <f>+(X51*3906.24)/1000</f>
        <v>-520.31116799999995</v>
      </c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-5495.7432799999997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f>41.67891</f>
        <v>41.678910000000002</v>
      </c>
      <c r="J52" s="49"/>
      <c r="K52" s="49"/>
      <c r="L52" s="48"/>
      <c r="M52" s="48"/>
      <c r="N52" s="49"/>
      <c r="O52" s="49"/>
      <c r="P52" s="49"/>
      <c r="Q52" s="49"/>
      <c r="R52" s="49">
        <v>1058.1600000000001</v>
      </c>
      <c r="S52" s="49">
        <f>+(R52*3906.24)/1000</f>
        <v>4133.4269184000004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36.399000000000001</v>
      </c>
      <c r="BB52" s="49">
        <v>12.605</v>
      </c>
      <c r="BC52" s="49">
        <v>48.082999999999998</v>
      </c>
      <c r="BD52" s="49">
        <v>3.0720000000000001</v>
      </c>
      <c r="BE52" s="49"/>
      <c r="BF52" s="49"/>
      <c r="BG52" s="49"/>
      <c r="BH52" s="49"/>
      <c r="BI52" s="49"/>
      <c r="BJ52" s="49"/>
      <c r="BK52" s="49">
        <v>3717.5317100000002</v>
      </c>
      <c r="BL52" s="49">
        <v>63.952869999999997</v>
      </c>
      <c r="BM52" s="49">
        <v>606.29706999999996</v>
      </c>
      <c r="BN52" s="49">
        <v>690.79021</v>
      </c>
      <c r="BO52" s="49"/>
      <c r="BP52" s="49">
        <f>144.99/1000</f>
        <v>0.14499000000000001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9353.9816783999995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-9.3323640000000001</v>
      </c>
      <c r="F53" s="49">
        <f>(F10+F13+F16+F17+F33+F38+F47+F35+F40)*4/1000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-5735.2660679999999</v>
      </c>
      <c r="M53" s="48">
        <f>(M10+M13+M17+M33+M38+M40+M51+M36+M49+M16)*4/1000</f>
        <v>-2294.1130359999997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-32205.414796000001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-40244.126263999999</v>
      </c>
    </row>
    <row r="54" spans="1:101" x14ac:dyDescent="0.3">
      <c r="C54" s="50" t="s">
        <v>141</v>
      </c>
      <c r="D54" s="51">
        <f t="shared" ref="D54:AM54" si="6">SUM(D9:D53)</f>
        <v>23000</v>
      </c>
      <c r="E54" s="51">
        <f t="shared" si="6"/>
        <v>9873657.5766359996</v>
      </c>
      <c r="F54" s="51">
        <f>SUM(F9:F53)</f>
        <v>4715780.085</v>
      </c>
      <c r="G54" s="51">
        <f t="shared" si="6"/>
        <v>0</v>
      </c>
      <c r="H54" s="51">
        <f t="shared" si="6"/>
        <v>0</v>
      </c>
      <c r="I54" s="51">
        <f t="shared" si="6"/>
        <v>25.870910000000002</v>
      </c>
      <c r="J54" s="51">
        <f t="shared" si="6"/>
        <v>0</v>
      </c>
      <c r="K54" s="51">
        <f t="shared" si="6"/>
        <v>0</v>
      </c>
      <c r="L54" s="52">
        <f>SUM(L9:L53)</f>
        <v>88588.227442007148</v>
      </c>
      <c r="M54" s="51">
        <f t="shared" si="6"/>
        <v>52231.852963994039</v>
      </c>
      <c r="N54" s="51">
        <f t="shared" si="6"/>
        <v>0</v>
      </c>
      <c r="O54" s="51">
        <f t="shared" si="6"/>
        <v>0</v>
      </c>
      <c r="P54" s="51">
        <f t="shared" si="6"/>
        <v>628525.82999999996</v>
      </c>
      <c r="Q54" s="51">
        <f t="shared" si="6"/>
        <v>2455172.7381791999</v>
      </c>
      <c r="R54" s="51">
        <f t="shared" si="6"/>
        <v>1058.1600000000001</v>
      </c>
      <c r="S54" s="51">
        <f t="shared" si="6"/>
        <v>4133.4269184000004</v>
      </c>
      <c r="T54" s="51">
        <f t="shared" si="6"/>
        <v>-100.1</v>
      </c>
      <c r="U54" s="51">
        <f t="shared" si="6"/>
        <v>-391.01462399999997</v>
      </c>
      <c r="V54" s="51">
        <f t="shared" si="6"/>
        <v>1629486.3</v>
      </c>
      <c r="W54" s="51">
        <f t="shared" si="6"/>
        <v>6365164.5645120004</v>
      </c>
      <c r="X54" s="51">
        <f t="shared" si="6"/>
        <v>-133.19999999999999</v>
      </c>
      <c r="Y54" s="51">
        <f t="shared" si="6"/>
        <v>-520.31116799999995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4192745.2579999999</v>
      </c>
      <c r="AZ54" s="51">
        <f t="shared" si="7"/>
        <v>0</v>
      </c>
      <c r="BA54" s="51">
        <f t="shared" si="7"/>
        <v>33.850999999999999</v>
      </c>
      <c r="BB54" s="51">
        <f t="shared" si="7"/>
        <v>11.723000000000001</v>
      </c>
      <c r="BC54" s="51">
        <f t="shared" si="7"/>
        <v>44.716999999999999</v>
      </c>
      <c r="BD54" s="51">
        <f t="shared" si="7"/>
        <v>2.8570000000000002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-8080101.8090860005</v>
      </c>
      <c r="BL54" s="51">
        <f t="shared" si="7"/>
        <v>59.476869999999998</v>
      </c>
      <c r="BM54" s="51">
        <f t="shared" si="7"/>
        <v>563.85707000000002</v>
      </c>
      <c r="BN54" s="51">
        <f t="shared" si="7"/>
        <v>642.43520999999998</v>
      </c>
      <c r="BO54" s="51">
        <f t="shared" si="7"/>
        <v>0</v>
      </c>
      <c r="BP54" s="51">
        <f t="shared" si="7"/>
        <v>0.14499000000000001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4700000</v>
      </c>
      <c r="CA54" s="51">
        <f t="shared" si="7"/>
        <v>2000000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26390845.527823605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407876.05421994516</v>
      </c>
      <c r="E55" s="56">
        <f t="shared" si="8"/>
        <v>21120437.887675054</v>
      </c>
      <c r="F55" s="56">
        <f>+F8+F54</f>
        <v>17625774.828244369</v>
      </c>
      <c r="G55" s="56">
        <f t="shared" si="8"/>
        <v>0</v>
      </c>
      <c r="H55" s="56">
        <f t="shared" si="8"/>
        <v>0</v>
      </c>
      <c r="I55" s="56">
        <f t="shared" si="8"/>
        <v>75122.996014578341</v>
      </c>
      <c r="J55" s="56">
        <f t="shared" si="8"/>
        <v>0</v>
      </c>
      <c r="K55" s="56">
        <f t="shared" si="8"/>
        <v>163081.68768414296</v>
      </c>
      <c r="L55" s="56">
        <f t="shared" si="8"/>
        <v>305070.23426883551</v>
      </c>
      <c r="M55" s="56">
        <f t="shared" si="8"/>
        <v>154805.19344748609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1450034.9634668664</v>
      </c>
      <c r="Q55" s="56">
        <f t="shared" si="8"/>
        <v>5687607.4517769907</v>
      </c>
      <c r="R55" s="56">
        <f t="shared" si="8"/>
        <v>4636285.6345100002</v>
      </c>
      <c r="S55" s="56">
        <f t="shared" si="8"/>
        <v>18770407.626821525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43306370.969999991</v>
      </c>
      <c r="W55" s="56">
        <f t="shared" si="8"/>
        <v>172992791.56916797</v>
      </c>
      <c r="X55" s="56">
        <f t="shared" si="8"/>
        <v>2405509.0999999996</v>
      </c>
      <c r="Y55" s="56">
        <f t="shared" si="8"/>
        <v>9664866.7635749988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282242.31999999727</v>
      </c>
      <c r="AI55" s="56">
        <f t="shared" si="8"/>
        <v>1134165.3611111888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25903711.799725242</v>
      </c>
      <c r="AM55" s="56">
        <f t="shared" si="8"/>
        <v>97208997.44479534</v>
      </c>
      <c r="AN55" s="56">
        <f t="shared" si="8"/>
        <v>4821383.3581500007</v>
      </c>
      <c r="AO55" s="56">
        <f t="shared" si="8"/>
        <v>968222.52890143998</v>
      </c>
      <c r="AP55" s="56">
        <f t="shared" si="8"/>
        <v>7128355.7711001448</v>
      </c>
      <c r="AQ55" s="56">
        <f t="shared" si="8"/>
        <v>3640041.0374521632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4373123.2868879996</v>
      </c>
      <c r="AZ55" s="56">
        <f t="shared" si="8"/>
        <v>23756.924137323233</v>
      </c>
      <c r="BA55" s="56">
        <f t="shared" si="8"/>
        <v>206373.13072400689</v>
      </c>
      <c r="BB55" s="56">
        <f t="shared" si="8"/>
        <v>71465.833219991167</v>
      </c>
      <c r="BC55" s="56">
        <f t="shared" si="8"/>
        <v>272618.66084799852</v>
      </c>
      <c r="BD55" s="56">
        <f t="shared" si="8"/>
        <v>17418.489599989847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4885909.5036820117</v>
      </c>
      <c r="BL55" s="56">
        <f t="shared" si="8"/>
        <v>115289.85383244607</v>
      </c>
      <c r="BM55" s="56">
        <f t="shared" si="8"/>
        <v>1092990.6389671636</v>
      </c>
      <c r="BN55" s="56">
        <f t="shared" si="8"/>
        <v>1245309.040507382</v>
      </c>
      <c r="BO55" s="56">
        <f t="shared" si="8"/>
        <v>3.4691202304202307E-3</v>
      </c>
      <c r="BP55" s="56">
        <f t="shared" si="8"/>
        <v>261.42094932906542</v>
      </c>
      <c r="BQ55" s="56">
        <f t="shared" si="8"/>
        <v>4.0128798844989433E-3</v>
      </c>
      <c r="BR55" s="56">
        <f t="shared" si="8"/>
        <v>535884.68600000336</v>
      </c>
      <c r="BS55" s="56">
        <f t="shared" si="8"/>
        <v>2136005.332414289</v>
      </c>
      <c r="BT55" s="56">
        <f t="shared" ref="BT55:CV55" si="9">+BT8+BT54</f>
        <v>197554.30493201784</v>
      </c>
      <c r="BU55" s="56">
        <f t="shared" si="9"/>
        <v>757375.00848428777</v>
      </c>
      <c r="BV55" s="56">
        <f t="shared" si="9"/>
        <v>9298.8778600000005</v>
      </c>
      <c r="BW55" s="56">
        <f t="shared" si="9"/>
        <v>199665.99299999999</v>
      </c>
      <c r="BX55" s="56">
        <f t="shared" si="9"/>
        <v>22663.665000000001</v>
      </c>
      <c r="BY55" s="56">
        <f t="shared" si="9"/>
        <v>797723.96685000055</v>
      </c>
      <c r="BZ55" s="56">
        <f t="shared" si="9"/>
        <v>2188563.0370099912</v>
      </c>
      <c r="CA55" s="56">
        <f t="shared" si="9"/>
        <v>3580325.7453199932</v>
      </c>
      <c r="CB55" s="56">
        <f t="shared" si="9"/>
        <v>19818.565999999999</v>
      </c>
      <c r="CC55" s="56">
        <f t="shared" si="9"/>
        <v>1108268.78</v>
      </c>
      <c r="CD55" s="56">
        <f t="shared" si="9"/>
        <v>0</v>
      </c>
      <c r="CE55" s="56">
        <f t="shared" si="9"/>
        <v>28392.831999999995</v>
      </c>
      <c r="CF55" s="56">
        <f t="shared" si="9"/>
        <v>1358895.952</v>
      </c>
      <c r="CG55" s="56">
        <f t="shared" si="9"/>
        <v>443799.8885</v>
      </c>
      <c r="CH55" s="56">
        <f t="shared" si="9"/>
        <v>2.9318200000000001</v>
      </c>
      <c r="CI55" s="56">
        <f t="shared" si="9"/>
        <v>1030573.0114399992</v>
      </c>
      <c r="CJ55" s="56">
        <f t="shared" si="9"/>
        <v>753128.27403999981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888148.40451000037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431679891.68428594</v>
      </c>
    </row>
    <row r="56" spans="1:101" x14ac:dyDescent="0.3">
      <c r="D56" s="57" t="s">
        <v>143</v>
      </c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57"/>
      <c r="O57" s="57"/>
      <c r="P57" s="67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190540565.92118001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100309264.436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662438.18900999997</v>
      </c>
      <c r="E62" s="67">
        <f>988767+7412231.19363+4830417.00292+5.80002</f>
        <v>13231420.996569999</v>
      </c>
      <c r="F62" s="89" t="s">
        <v>153</v>
      </c>
      <c r="G62" s="91">
        <f>P55</f>
        <v>1450034.9634668664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21315000</v>
      </c>
      <c r="E63" s="67" t="s">
        <v>205</v>
      </c>
      <c r="F63" s="89" t="s">
        <v>155</v>
      </c>
      <c r="G63" s="91">
        <f>R55</f>
        <v>4636285.6345100002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68253863.296169996</v>
      </c>
      <c r="E64" s="67" t="s">
        <v>205</v>
      </c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43306370.969999991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2405509.0999999996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-177148596.21799999</v>
      </c>
      <c r="E73" s="71"/>
      <c r="F73" s="114" t="s">
        <v>163</v>
      </c>
      <c r="G73" s="115">
        <f>L55*1000</f>
        <v>305070234.26883548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154805193.4474861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-73367434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-72522488.518999994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-21200000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-8051353.699</v>
      </c>
      <c r="E79" s="101" t="s">
        <v>205</v>
      </c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-2007320</v>
      </c>
      <c r="E81" s="101" t="s">
        <v>205</v>
      </c>
      <c r="F81" s="128" t="s">
        <v>172</v>
      </c>
      <c r="G81" s="126">
        <f>AH55</f>
        <v>282242.31999999727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206339.27972400689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36.399000000000001</v>
      </c>
      <c r="L92" s="143">
        <f>BA50+BA51+BA53+BA40+BA42+BA43+BA45</f>
        <v>-2.548</v>
      </c>
      <c r="M92" s="144">
        <f t="shared" si="10"/>
        <v>206373.13072400689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272573.94384799851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48.082999999999998</v>
      </c>
      <c r="L98" s="143">
        <f>BC50+BC51+BC53+BC40+BC42+BC43+BC45</f>
        <v>-3.3660000000000001</v>
      </c>
      <c r="M98" s="144">
        <f t="shared" si="10"/>
        <v>272618.66084799852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71454.110219991169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12.605</v>
      </c>
      <c r="L99" s="143">
        <f>BB50+BB51+BB53+BB40+BB42+BB43+BB45</f>
        <v>-0.88200000000000001</v>
      </c>
      <c r="M99" s="144">
        <f t="shared" si="10"/>
        <v>71465.833219991167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17415.632599989847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3.0720000000000001</v>
      </c>
      <c r="L104" s="143">
        <f>BD50+BD51+BD53+BD40+BD42+BD43+BD45</f>
        <v>-0.215</v>
      </c>
      <c r="M104" s="144">
        <f t="shared" si="10"/>
        <v>17418.489599989847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180378.02888800003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4192745.2579999999</v>
      </c>
      <c r="L106" s="143">
        <f>AY50+AY51+AY53+AY40+AY42+AY43+AY45</f>
        <v>0</v>
      </c>
      <c r="M106" s="144">
        <f t="shared" si="10"/>
        <v>4373123.2868879996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608509.07769167935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36.399000000000001</v>
      </c>
      <c r="L108" s="98">
        <f t="shared" si="11"/>
        <v>-2.548</v>
      </c>
      <c r="M108" s="98">
        <f t="shared" si="11"/>
        <v>608542.92869167938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847665.71277235274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60.688000000000002</v>
      </c>
      <c r="L109" s="98">
        <f t="shared" si="12"/>
        <v>-4.2480000000000002</v>
      </c>
      <c r="M109" s="98">
        <f t="shared" si="12"/>
        <v>847722.1527723528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457767.2379914301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4192748.33</v>
      </c>
      <c r="L110" s="98">
        <f t="shared" si="13"/>
        <v>-0.215</v>
      </c>
      <c r="M110" s="98">
        <f t="shared" si="13"/>
        <v>4650515.3529914301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+'SEP 15'!D55</f>
        <v>407876.05421994516</v>
      </c>
      <c r="E5" s="18">
        <f>+'SEP 15'!E55</f>
        <v>21120437.887675054</v>
      </c>
      <c r="F5" s="18">
        <f>+'SEP 15'!F55</f>
        <v>17625774.828244369</v>
      </c>
      <c r="G5" s="18">
        <f>+'SEP 15'!G55</f>
        <v>0</v>
      </c>
      <c r="H5" s="18">
        <f>+'SEP 15'!H55</f>
        <v>0</v>
      </c>
      <c r="I5" s="18">
        <f>+'SEP 15'!I55</f>
        <v>75122.996014578341</v>
      </c>
      <c r="J5" s="18">
        <f>+'SEP 15'!J55</f>
        <v>0</v>
      </c>
      <c r="K5" s="18">
        <f>+'SEP 15'!K55</f>
        <v>163081.68768414296</v>
      </c>
      <c r="L5" s="18">
        <f>+'SEP 15'!L55</f>
        <v>305070.23426883551</v>
      </c>
      <c r="M5" s="18">
        <f>+'SEP 15'!M55</f>
        <v>154805.19344748609</v>
      </c>
      <c r="N5" s="18">
        <f>+'SEP 15'!N55</f>
        <v>120822.5199999999</v>
      </c>
      <c r="O5" s="18">
        <f>+'SEP 15'!O55</f>
        <v>485514.42259319959</v>
      </c>
      <c r="P5" s="18">
        <f>+'SEP 15'!P55</f>
        <v>1450034.9634668664</v>
      </c>
      <c r="Q5" s="18">
        <f>+'SEP 15'!Q55</f>
        <v>5687607.4517769907</v>
      </c>
      <c r="R5" s="18">
        <f>+'SEP 15'!R55</f>
        <v>4636285.6345100002</v>
      </c>
      <c r="S5" s="18">
        <f>+'SEP 15'!S55</f>
        <v>18770407.626821525</v>
      </c>
      <c r="T5" s="18">
        <f>+'SEP 15'!T55</f>
        <v>56575.250000000007</v>
      </c>
      <c r="U5" s="18">
        <f>+'SEP 15'!U55</f>
        <v>227353.77856949999</v>
      </c>
      <c r="V5" s="18">
        <f>+'SEP 15'!V55</f>
        <v>43306370.969999991</v>
      </c>
      <c r="W5" s="18">
        <f>+'SEP 15'!W55</f>
        <v>172992791.56916797</v>
      </c>
      <c r="X5" s="18">
        <f>+'SEP 15'!X55</f>
        <v>2405509.0999999996</v>
      </c>
      <c r="Y5" s="18">
        <f>+'SEP 15'!Y55</f>
        <v>9664866.7635749988</v>
      </c>
      <c r="Z5" s="18">
        <f>+'SEP 15'!Z55</f>
        <v>9662.5274983807467</v>
      </c>
      <c r="AA5" s="18">
        <f>+'SEP 15'!AA55</f>
        <v>38827.997124768175</v>
      </c>
      <c r="AB5" s="18">
        <f>+'SEP 15'!AB55</f>
        <v>7542.7499999967404</v>
      </c>
      <c r="AC5" s="18">
        <f>+'SEP 15'!AC55</f>
        <v>30309.862027486903</v>
      </c>
      <c r="AD5" s="18">
        <f>+'SEP 15'!AD55</f>
        <v>5155</v>
      </c>
      <c r="AE5" s="18">
        <f>+'SEP 15'!AE55</f>
        <v>20714.903549999999</v>
      </c>
      <c r="AF5" s="18">
        <f>+'SEP 15'!AF55</f>
        <v>7956.8699999451637</v>
      </c>
      <c r="AG5" s="18">
        <f>+'SEP 15'!AG55</f>
        <v>31973.965976479645</v>
      </c>
      <c r="AH5" s="18">
        <f>+'SEP 15'!AH55</f>
        <v>282242.31999999727</v>
      </c>
      <c r="AI5" s="18">
        <f>+'SEP 15'!AI55</f>
        <v>1134165.3611111888</v>
      </c>
      <c r="AJ5" s="18">
        <f>+'SEP 15'!AJ55</f>
        <v>675895.70999999822</v>
      </c>
      <c r="AK5" s="18">
        <f>+'SEP 15'!AK55</f>
        <v>2716026.0800210927</v>
      </c>
      <c r="AL5" s="18">
        <f>+'SEP 15'!AL55</f>
        <v>25903711.799725242</v>
      </c>
      <c r="AM5" s="18">
        <f>+'SEP 15'!AM55</f>
        <v>97208997.44479534</v>
      </c>
      <c r="AN5" s="18">
        <f>+'SEP 15'!AN55</f>
        <v>4821383.3581500007</v>
      </c>
      <c r="AO5" s="18">
        <f>+'SEP 15'!AO55</f>
        <v>968222.52890143998</v>
      </c>
      <c r="AP5" s="18">
        <f>+'SEP 15'!AP55</f>
        <v>7128355.7711001448</v>
      </c>
      <c r="AQ5" s="18">
        <f>+'SEP 15'!AQ55</f>
        <v>3640041.0374521632</v>
      </c>
      <c r="AR5" s="18">
        <f>+'SEP 15'!AR55</f>
        <v>33467.106463993005</v>
      </c>
      <c r="AS5" s="18">
        <f>+'SEP 15'!AS55</f>
        <v>6.3419079996137473</v>
      </c>
      <c r="AT5" s="18">
        <f>+'SEP 15'!AT55</f>
        <v>11.326432002509915</v>
      </c>
      <c r="AU5" s="18">
        <f>+'SEP 15'!AU55</f>
        <v>70852.565203997277</v>
      </c>
      <c r="AV5" s="18">
        <f>+'SEP 15'!AV55</f>
        <v>529097.77060280275</v>
      </c>
      <c r="AW5" s="18">
        <f>+'SEP 15'!AW55</f>
        <v>87470.533549996806</v>
      </c>
      <c r="AX5" s="18">
        <f>+'SEP 15'!AX55</f>
        <v>1064.5961240010877</v>
      </c>
      <c r="AY5" s="18">
        <f>+'SEP 15'!AY55</f>
        <v>4373123.2868879996</v>
      </c>
      <c r="AZ5" s="18">
        <f>+'SEP 15'!AZ55</f>
        <v>23756.924137323233</v>
      </c>
      <c r="BA5" s="18">
        <f>+'SEP 15'!BA55</f>
        <v>206373.13072400689</v>
      </c>
      <c r="BB5" s="18">
        <f>+'SEP 15'!BB55</f>
        <v>71465.833219991167</v>
      </c>
      <c r="BC5" s="18">
        <f>+'SEP 15'!BC55</f>
        <v>272618.66084799852</v>
      </c>
      <c r="BD5" s="18">
        <f>+'SEP 15'!BD55</f>
        <v>17418.489599989847</v>
      </c>
      <c r="BE5" s="18">
        <f>+'SEP 15'!BE55</f>
        <v>256626.99715368054</v>
      </c>
      <c r="BF5" s="18">
        <f>+'SEP 15'!BF55</f>
        <v>294827.49323035986</v>
      </c>
      <c r="BG5" s="18">
        <f>+'SEP 15'!BG55</f>
        <v>35110.408018882757</v>
      </c>
      <c r="BH5" s="18">
        <f>+'SEP 15'!BH55</f>
        <v>24605.160800002101</v>
      </c>
      <c r="BI5" s="18">
        <f>+'SEP 15'!BI55</f>
        <v>207727.90101</v>
      </c>
      <c r="BJ5" s="18">
        <f>+'SEP 15'!BJ55</f>
        <v>154010.6032805602</v>
      </c>
      <c r="BK5" s="18">
        <f>+'SEP 15'!BK55</f>
        <v>4885909.5036820117</v>
      </c>
      <c r="BL5" s="18">
        <f>+'SEP 15'!BL55</f>
        <v>115289.85383244607</v>
      </c>
      <c r="BM5" s="18">
        <f>+'SEP 15'!BM55</f>
        <v>1092990.6389671636</v>
      </c>
      <c r="BN5" s="18">
        <f>+'SEP 15'!BN55</f>
        <v>1245309.040507382</v>
      </c>
      <c r="BO5" s="18">
        <f>+'SEP 15'!BO55</f>
        <v>3.4691202304202307E-3</v>
      </c>
      <c r="BP5" s="18">
        <f>+'SEP 15'!BP55</f>
        <v>261.42094932906542</v>
      </c>
      <c r="BQ5" s="18">
        <f>+'SEP 15'!BQ55</f>
        <v>4.0128798844989433E-3</v>
      </c>
      <c r="BR5" s="18">
        <f>+'SEP 15'!BR55</f>
        <v>535884.68600000336</v>
      </c>
      <c r="BS5" s="18">
        <f>+'SEP 15'!BS55</f>
        <v>2136005.332414289</v>
      </c>
      <c r="BT5" s="18">
        <f>+'SEP 15'!BT55</f>
        <v>197554.30493201784</v>
      </c>
      <c r="BU5" s="18">
        <f>+'SEP 15'!BU55</f>
        <v>757375.00848428777</v>
      </c>
      <c r="BV5" s="18">
        <f>+'SEP 15'!BV55</f>
        <v>9298.8778600000005</v>
      </c>
      <c r="BW5" s="18">
        <f>+'SEP 15'!BW55</f>
        <v>199665.99299999999</v>
      </c>
      <c r="BX5" s="18">
        <f>+'SEP 15'!BX55</f>
        <v>22663.665000000001</v>
      </c>
      <c r="BY5" s="18">
        <f>+'SEP 15'!BY55</f>
        <v>797723.96685000055</v>
      </c>
      <c r="BZ5" s="18">
        <f>+'SEP 15'!BZ55</f>
        <v>2188563.0370099912</v>
      </c>
      <c r="CA5" s="18">
        <f>+'SEP 15'!CA55</f>
        <v>3580325.7453199932</v>
      </c>
      <c r="CB5" s="18">
        <f>+'SEP 15'!CB55</f>
        <v>19818.565999999999</v>
      </c>
      <c r="CC5" s="18">
        <f>+'SEP 15'!CC55</f>
        <v>1108268.78</v>
      </c>
      <c r="CD5" s="18">
        <f>+'SEP 15'!CD55</f>
        <v>0</v>
      </c>
      <c r="CE5" s="18">
        <f>+'SEP 15'!CE55</f>
        <v>28392.831999999995</v>
      </c>
      <c r="CF5" s="18">
        <f>+'SEP 15'!CF55</f>
        <v>1358895.952</v>
      </c>
      <c r="CG5" s="18">
        <f>+'SEP 15'!CG55</f>
        <v>443799.8885</v>
      </c>
      <c r="CH5" s="18">
        <f>+'SEP 15'!CH55</f>
        <v>2.9318200000000001</v>
      </c>
      <c r="CI5" s="18">
        <f>+'SEP 15'!CI55</f>
        <v>1030573.0114399992</v>
      </c>
      <c r="CJ5" s="18">
        <f>+'SEP 15'!CJ55</f>
        <v>753128.27403999981</v>
      </c>
      <c r="CK5" s="18">
        <f>+'SEP 15'!CK55</f>
        <v>0</v>
      </c>
      <c r="CL5" s="18">
        <f>+'SEP 15'!CL55</f>
        <v>0</v>
      </c>
      <c r="CM5" s="18">
        <f>+'SEP 15'!CM55</f>
        <v>79545.207070000004</v>
      </c>
      <c r="CN5" s="18">
        <f>+'SEP 15'!CN55</f>
        <v>647657.33605000004</v>
      </c>
      <c r="CO5" s="18">
        <f>+'SEP 15'!CO55</f>
        <v>736464.8368199995</v>
      </c>
      <c r="CP5" s="18">
        <f>+'SEP 15'!CP55</f>
        <v>9152723.6727600005</v>
      </c>
      <c r="CQ5" s="18">
        <f>+'SEP 15'!CQ55</f>
        <v>377715.39094000001</v>
      </c>
      <c r="CR5" s="18">
        <f>+'SEP 15'!CR55</f>
        <v>888148.40451000037</v>
      </c>
      <c r="CS5" s="18">
        <f>+'SEP 15'!CS55</f>
        <v>5013.4199999999992</v>
      </c>
      <c r="CT5" s="18">
        <f>+'SEP 15'!CT55</f>
        <v>20149.387893799994</v>
      </c>
      <c r="CU5" s="18">
        <f>+'SEP 15'!CU55</f>
        <v>5013.4199999999992</v>
      </c>
      <c r="CV5" s="18">
        <f>+'SEP 15'!CV55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431679891.68428594</v>
      </c>
    </row>
    <row r="6" spans="1:101" s="20" customFormat="1" x14ac:dyDescent="0.3">
      <c r="A6" s="173"/>
      <c r="B6" s="19"/>
      <c r="C6" s="19" t="s">
        <v>91</v>
      </c>
      <c r="D6" s="19">
        <v>4667.0730399999993</v>
      </c>
      <c r="E6" s="19">
        <v>7869046.7267800001</v>
      </c>
      <c r="F6" s="19">
        <v>3528708.9780899989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-1.7569999999832362</v>
      </c>
      <c r="BX6" s="19">
        <v>0</v>
      </c>
      <c r="BY6" s="19">
        <v>-33397.206910000037</v>
      </c>
      <c r="BZ6" s="19">
        <v>-2757095.8568699998</v>
      </c>
      <c r="CA6" s="19">
        <v>-1945752.4697599998</v>
      </c>
      <c r="CB6" s="19">
        <v>0</v>
      </c>
      <c r="CC6" s="19">
        <v>1546.341999999946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54511.32099999988</v>
      </c>
      <c r="CJ6" s="19">
        <v>43110.20299999998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412543.12725994515</v>
      </c>
      <c r="E8" s="18">
        <f t="shared" si="0"/>
        <v>28989484.614455055</v>
      </c>
      <c r="F8" s="18">
        <f t="shared" si="0"/>
        <v>21154483.806334369</v>
      </c>
      <c r="G8" s="18">
        <f t="shared" si="0"/>
        <v>0</v>
      </c>
      <c r="H8" s="18">
        <f t="shared" si="0"/>
        <v>0</v>
      </c>
      <c r="I8" s="18">
        <f t="shared" si="0"/>
        <v>75122.996014578341</v>
      </c>
      <c r="J8" s="18">
        <f t="shared" si="0"/>
        <v>0</v>
      </c>
      <c r="K8" s="18">
        <f t="shared" si="0"/>
        <v>163081.68768414296</v>
      </c>
      <c r="L8" s="18">
        <f t="shared" si="0"/>
        <v>305070.23426883551</v>
      </c>
      <c r="M8" s="18">
        <f t="shared" si="0"/>
        <v>154805.19344748609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1450034.9634668664</v>
      </c>
      <c r="Q8" s="18">
        <f t="shared" si="0"/>
        <v>5687607.4517769907</v>
      </c>
      <c r="R8" s="18">
        <f t="shared" si="0"/>
        <v>4636285.6345100002</v>
      </c>
      <c r="S8" s="18">
        <f t="shared" si="0"/>
        <v>18770407.626821525</v>
      </c>
      <c r="T8" s="18">
        <f t="shared" si="0"/>
        <v>56575.250000000007</v>
      </c>
      <c r="U8" s="18">
        <f t="shared" si="0"/>
        <v>227353.77856949999</v>
      </c>
      <c r="V8" s="18">
        <f t="shared" si="0"/>
        <v>43306370.969999991</v>
      </c>
      <c r="W8" s="18">
        <f t="shared" si="0"/>
        <v>172992791.56916797</v>
      </c>
      <c r="X8" s="18">
        <f t="shared" si="0"/>
        <v>2405509.0999999996</v>
      </c>
      <c r="Y8" s="18">
        <f t="shared" si="0"/>
        <v>9664866.7635749988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25903711.799725242</v>
      </c>
      <c r="AM8" s="18">
        <f t="shared" si="0"/>
        <v>97208997.44479534</v>
      </c>
      <c r="AN8" s="18">
        <f t="shared" si="0"/>
        <v>4821383.3581500007</v>
      </c>
      <c r="AO8" s="18">
        <f t="shared" si="0"/>
        <v>968222.52890143998</v>
      </c>
      <c r="AP8" s="18">
        <f t="shared" si="0"/>
        <v>7128355.7711001448</v>
      </c>
      <c r="AQ8" s="18">
        <f t="shared" si="0"/>
        <v>3640041.0374521632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4373123.2868879996</v>
      </c>
      <c r="AZ8" s="18">
        <f t="shared" si="0"/>
        <v>23756.924137323233</v>
      </c>
      <c r="BA8" s="18">
        <f t="shared" si="0"/>
        <v>206373.13072400689</v>
      </c>
      <c r="BB8" s="18">
        <f t="shared" si="0"/>
        <v>71465.833219991167</v>
      </c>
      <c r="BC8" s="18">
        <f t="shared" si="0"/>
        <v>272618.66084799852</v>
      </c>
      <c r="BD8" s="18">
        <f t="shared" si="0"/>
        <v>17418.489599989847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4885909.5036820117</v>
      </c>
      <c r="BL8" s="18">
        <f t="shared" si="0"/>
        <v>115289.85383244607</v>
      </c>
      <c r="BM8" s="18">
        <f t="shared" si="0"/>
        <v>1092990.6389671636</v>
      </c>
      <c r="BN8" s="18">
        <f t="shared" si="0"/>
        <v>1245309.040507382</v>
      </c>
      <c r="BO8" s="18">
        <f t="shared" si="0"/>
        <v>3.4691202304202307E-3</v>
      </c>
      <c r="BP8" s="18">
        <f t="shared" si="0"/>
        <v>261.42094932906542</v>
      </c>
      <c r="BQ8" s="18">
        <f t="shared" si="0"/>
        <v>4.0128798844989433E-3</v>
      </c>
      <c r="BR8" s="18">
        <f t="shared" si="0"/>
        <v>535884.68600000336</v>
      </c>
      <c r="BS8" s="18">
        <f t="shared" si="0"/>
        <v>2136005.332414289</v>
      </c>
      <c r="BT8" s="18">
        <f t="shared" ref="BT8:CV8" si="1">BT5+BT6+BT7</f>
        <v>197554.30493201784</v>
      </c>
      <c r="BU8" s="18">
        <f t="shared" si="1"/>
        <v>757375.00848428777</v>
      </c>
      <c r="BV8" s="18">
        <f t="shared" si="1"/>
        <v>9298.8778600000005</v>
      </c>
      <c r="BW8" s="18">
        <f t="shared" si="1"/>
        <v>199664.236</v>
      </c>
      <c r="BX8" s="18">
        <f t="shared" si="1"/>
        <v>22663.665000000001</v>
      </c>
      <c r="BY8" s="18">
        <f>+BY5+BY6+BY7:BZ7</f>
        <v>764326.75994000048</v>
      </c>
      <c r="BZ8" s="18">
        <f t="shared" si="1"/>
        <v>-568532.81986000855</v>
      </c>
      <c r="CA8" s="18">
        <f t="shared" si="1"/>
        <v>1634573.2755599935</v>
      </c>
      <c r="CB8" s="18">
        <f t="shared" si="1"/>
        <v>19818.565999999999</v>
      </c>
      <c r="CC8" s="18">
        <f t="shared" si="1"/>
        <v>1109815.122</v>
      </c>
      <c r="CD8" s="18">
        <f t="shared" si="1"/>
        <v>0</v>
      </c>
      <c r="CE8" s="18">
        <f t="shared" si="1"/>
        <v>28392.831999999995</v>
      </c>
      <c r="CF8" s="18">
        <f t="shared" si="1"/>
        <v>1358895.952</v>
      </c>
      <c r="CG8" s="18">
        <f t="shared" si="1"/>
        <v>443799.8885</v>
      </c>
      <c r="CH8" s="18">
        <f t="shared" si="1"/>
        <v>2.9318200000000001</v>
      </c>
      <c r="CI8" s="18">
        <f t="shared" si="1"/>
        <v>1085084.3324399991</v>
      </c>
      <c r="CJ8" s="18">
        <f t="shared" si="1"/>
        <v>796238.47703999979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888148.40451000037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438445235.03765607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782813.5+261500</f>
        <v>1044313.5</v>
      </c>
      <c r="M11" s="26">
        <f>35540+434801</f>
        <v>470341</v>
      </c>
      <c r="N11" s="26"/>
      <c r="O11" s="26"/>
      <c r="P11" s="28">
        <f>568439.36+410000+247500+251526</f>
        <v>1477465.3599999999</v>
      </c>
      <c r="Q11" s="26">
        <f>+(P11*3897.57)/1000</f>
        <v>5758524.6631751992</v>
      </c>
      <c r="R11" s="26">
        <v>5625</v>
      </c>
      <c r="S11" s="26">
        <f>+(R11*3897.57)/1000</f>
        <v>21923.831249999999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7295102.994425199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9">
        <f>859305.472+451733.94821</f>
        <v>1311039.4202099999</v>
      </c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1311039.4202099999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9"/>
      <c r="AP16" s="26"/>
      <c r="AQ16" s="29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>
        <v>-35669004</v>
      </c>
      <c r="M20" s="29">
        <v>-57727467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-93396471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-63626224.622000001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-63626224.622000001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>
        <v>43539766.261</v>
      </c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43539766.261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55748416.684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55748416.684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>
        <v>59121180.046999998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59121180.046999998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>
        <v>-135837.48000000001</v>
      </c>
      <c r="AI26" s="26">
        <f>(AH26*3897.57)/1000</f>
        <v>-529436.08692360006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-529436.08692360006</v>
      </c>
    </row>
    <row r="27" spans="1:101" x14ac:dyDescent="0.3">
      <c r="A27" s="166"/>
      <c r="B27" s="24" t="s">
        <v>95</v>
      </c>
      <c r="C27" s="25" t="s">
        <v>114</v>
      </c>
      <c r="D27" s="26">
        <v>42000</v>
      </c>
      <c r="E27" s="29"/>
      <c r="F27" s="29"/>
      <c r="G27" s="26"/>
      <c r="H27" s="26"/>
      <c r="I27" s="26"/>
      <c r="J27" s="26"/>
      <c r="K27" s="26"/>
      <c r="L27" s="27">
        <v>640000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1200000</v>
      </c>
      <c r="CA27" s="26">
        <v>3700000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5582000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-16851000</v>
      </c>
      <c r="F28" s="26">
        <v>-13306000</v>
      </c>
      <c r="G28" s="26"/>
      <c r="H28" s="26"/>
      <c r="I28" s="26"/>
      <c r="J28" s="26"/>
      <c r="K28" s="26"/>
      <c r="L28" s="27"/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-30157000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>
        <v>-1000000</v>
      </c>
      <c r="Q29" s="26">
        <f>+(P29*3897.57)/1000</f>
        <v>-3897570</v>
      </c>
      <c r="R29" s="26">
        <v>-1400000</v>
      </c>
      <c r="S29" s="26">
        <f>+(R29*3897.57)/1000</f>
        <v>-5456598</v>
      </c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>
        <v>1000000</v>
      </c>
      <c r="BS29" s="26">
        <f>+(BR29*3897.57)/1000</f>
        <v>3897570</v>
      </c>
      <c r="BT29" s="26">
        <v>1400000</v>
      </c>
      <c r="BU29" s="26">
        <f>+(BT29*3897.57)/1000</f>
        <v>5456598</v>
      </c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-1580000-760000-590000</f>
        <v>-2930000</v>
      </c>
      <c r="W35" s="38">
        <f>+(V35*3897.57)/1000</f>
        <v>-11419880.1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-11419880.1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v>-1773400</v>
      </c>
      <c r="M38" s="39">
        <v>-1773400</v>
      </c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-3546800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>
        <v>-1170.9000000000001</v>
      </c>
      <c r="E40" s="44">
        <f>-90.51057-323.949-2161.79364-44052.14622-56833.5345</f>
        <v>-103461.93393</v>
      </c>
      <c r="F40" s="44">
        <v>-3036.4559399999998</v>
      </c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-107669.28986999999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154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-0.97299999999999998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-2.548</v>
      </c>
      <c r="BB50" s="49">
        <v>-0.88200000000000001</v>
      </c>
      <c r="BC50" s="49">
        <v>-3.3660000000000001</v>
      </c>
      <c r="BD50" s="49">
        <v>-0.215</v>
      </c>
      <c r="BE50" s="49"/>
      <c r="BF50" s="49"/>
      <c r="BG50" s="49"/>
      <c r="BH50" s="49"/>
      <c r="BI50" s="49"/>
      <c r="BJ50" s="49"/>
      <c r="BK50" s="49"/>
      <c r="BL50" s="49">
        <v>-1.4930000000000001</v>
      </c>
      <c r="BM50" s="49">
        <v>-14.151999999999999</v>
      </c>
      <c r="BN50" s="49">
        <v>-16.123999999999999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-39.753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-809.601</v>
      </c>
      <c r="F51" s="49">
        <v>-66.495000000000005</v>
      </c>
      <c r="G51" s="49"/>
      <c r="H51" s="49"/>
      <c r="I51" s="49"/>
      <c r="J51" s="49"/>
      <c r="K51" s="48"/>
      <c r="L51" s="48">
        <v>-61.963000000000001</v>
      </c>
      <c r="M51" s="48">
        <v>-12.388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>
        <f>-50-3.5</f>
        <v>-53.5</v>
      </c>
      <c r="AI51" s="49">
        <f>(AH51*3897.57)/1000</f>
        <v>-208.51999499999999</v>
      </c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-1158.966995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13.89775</v>
      </c>
      <c r="J52" s="49"/>
      <c r="K52" s="49"/>
      <c r="L52" s="48"/>
      <c r="M52" s="48"/>
      <c r="N52" s="49"/>
      <c r="O52" s="49"/>
      <c r="P52" s="49"/>
      <c r="Q52" s="49"/>
      <c r="R52" s="49">
        <v>352.8</v>
      </c>
      <c r="S52" s="49">
        <f>+(R52*3897.57)/1000</f>
        <v>1375.062696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36.405000000000001</v>
      </c>
      <c r="BB52" s="49">
        <v>12.606999999999999</v>
      </c>
      <c r="BC52" s="49">
        <v>48.091000000000001</v>
      </c>
      <c r="BD52" s="49">
        <v>3.073</v>
      </c>
      <c r="BE52" s="49"/>
      <c r="BF52" s="49"/>
      <c r="BG52" s="49"/>
      <c r="BH52" s="49"/>
      <c r="BI52" s="49"/>
      <c r="BJ52" s="49"/>
      <c r="BK52" s="49"/>
      <c r="BL52" s="49">
        <v>21.324960000000001</v>
      </c>
      <c r="BM52" s="49">
        <v>202.16856999999999</v>
      </c>
      <c r="BN52" s="49">
        <v>230.34263999999999</v>
      </c>
      <c r="BO52" s="49"/>
      <c r="BP52" s="49">
        <f>48.35/1000</f>
        <v>4.8350000000000004E-2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1943.020966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(D10+D13+D16+D17+D33+D38+D47+D35)*4/1000</f>
        <v>0</v>
      </c>
      <c r="E53" s="49">
        <f>(E10+E13+E16+E17+E33+E38+E47+E51+E35+E40)*4/1000</f>
        <v>-417.08613972000001</v>
      </c>
      <c r="F53" s="49">
        <f>(F10+F13+F16+F17+F33+F38+F47+F35)*4/1000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-7093.8478519999999</v>
      </c>
      <c r="M53" s="48">
        <f>(M10+M13+M17+M33+M38+M40+M51+M36+M49+M16)*4/1000</f>
        <v>-7093.6495519999999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G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>(AH10+AH13+AH16+AH17+AH33+AH38+AH40+AH47)*4/1000</f>
        <v>0</v>
      </c>
      <c r="AI53" s="49">
        <f>(AI10+AI13+AI16+AI17+AI33+AI38+AI40+AI47)*4/1000</f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-14604.58354372</v>
      </c>
    </row>
    <row r="54" spans="1:101" x14ac:dyDescent="0.3">
      <c r="C54" s="50" t="s">
        <v>141</v>
      </c>
      <c r="D54" s="51">
        <f t="shared" ref="D54:AM54" si="6">SUM(D9:D53)</f>
        <v>40829.1</v>
      </c>
      <c r="E54" s="51">
        <f t="shared" si="6"/>
        <v>-16955688.621069718</v>
      </c>
      <c r="F54" s="51">
        <f>SUM(F9:F53)</f>
        <v>-13309102.95094</v>
      </c>
      <c r="G54" s="51">
        <f t="shared" si="6"/>
        <v>0</v>
      </c>
      <c r="H54" s="51">
        <f t="shared" si="6"/>
        <v>0</v>
      </c>
      <c r="I54" s="51">
        <f t="shared" si="6"/>
        <v>12.92475</v>
      </c>
      <c r="J54" s="51">
        <f t="shared" si="6"/>
        <v>0</v>
      </c>
      <c r="K54" s="51">
        <f t="shared" si="6"/>
        <v>0</v>
      </c>
      <c r="L54" s="52">
        <f>SUM(L9:L53)</f>
        <v>-103287.98785200853</v>
      </c>
      <c r="M54" s="51">
        <f t="shared" si="6"/>
        <v>83548.009447998382</v>
      </c>
      <c r="N54" s="51">
        <f t="shared" si="6"/>
        <v>0</v>
      </c>
      <c r="O54" s="51">
        <f t="shared" si="6"/>
        <v>0</v>
      </c>
      <c r="P54" s="51">
        <f t="shared" si="6"/>
        <v>477465.35999999987</v>
      </c>
      <c r="Q54" s="51">
        <f t="shared" si="6"/>
        <v>1860954.6631751992</v>
      </c>
      <c r="R54" s="51">
        <f t="shared" si="6"/>
        <v>-1394022.2</v>
      </c>
      <c r="S54" s="51">
        <f t="shared" si="6"/>
        <v>-5433299.1060540006</v>
      </c>
      <c r="T54" s="51">
        <f t="shared" si="6"/>
        <v>0</v>
      </c>
      <c r="U54" s="51">
        <f t="shared" si="6"/>
        <v>0</v>
      </c>
      <c r="V54" s="51">
        <f t="shared" si="6"/>
        <v>-2930000</v>
      </c>
      <c r="W54" s="51">
        <f t="shared" si="6"/>
        <v>-11419880.1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-135890.98000000001</v>
      </c>
      <c r="AI54" s="51">
        <f t="shared" si="6"/>
        <v>-529644.60691860004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1311039.4202099999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33.856999999999999</v>
      </c>
      <c r="BB54" s="51">
        <f t="shared" si="7"/>
        <v>11.725</v>
      </c>
      <c r="BC54" s="51">
        <f t="shared" si="7"/>
        <v>44.725000000000001</v>
      </c>
      <c r="BD54" s="51">
        <f t="shared" si="7"/>
        <v>2.8580000000000001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19.831960000000002</v>
      </c>
      <c r="BM54" s="51">
        <f t="shared" si="7"/>
        <v>188.01657</v>
      </c>
      <c r="BN54" s="51">
        <f t="shared" si="7"/>
        <v>214.21863999999999</v>
      </c>
      <c r="BO54" s="51">
        <f t="shared" si="7"/>
        <v>0</v>
      </c>
      <c r="BP54" s="51">
        <f t="shared" si="7"/>
        <v>4.8350000000000004E-2</v>
      </c>
      <c r="BQ54" s="51">
        <f t="shared" si="7"/>
        <v>0</v>
      </c>
      <c r="BR54" s="51">
        <f t="shared" si="7"/>
        <v>1000000</v>
      </c>
      <c r="BS54" s="51">
        <f t="shared" si="7"/>
        <v>3897570</v>
      </c>
      <c r="BT54" s="51">
        <f t="shared" si="7"/>
        <v>1400000</v>
      </c>
      <c r="BU54" s="51">
        <f t="shared" si="7"/>
        <v>5456598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1200000</v>
      </c>
      <c r="CA54" s="51">
        <f t="shared" si="7"/>
        <v>3700000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-30199835.974731132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453372.22725994512</v>
      </c>
      <c r="E55" s="56">
        <f t="shared" si="8"/>
        <v>12033795.993385337</v>
      </c>
      <c r="F55" s="56">
        <f>+F8+F54</f>
        <v>7845380.855394369</v>
      </c>
      <c r="G55" s="56">
        <f t="shared" si="8"/>
        <v>0</v>
      </c>
      <c r="H55" s="56">
        <f t="shared" si="8"/>
        <v>0</v>
      </c>
      <c r="I55" s="56">
        <f t="shared" si="8"/>
        <v>75135.920764578346</v>
      </c>
      <c r="J55" s="56">
        <f t="shared" si="8"/>
        <v>0</v>
      </c>
      <c r="K55" s="56">
        <f t="shared" si="8"/>
        <v>163081.68768414296</v>
      </c>
      <c r="L55" s="56">
        <f t="shared" si="8"/>
        <v>201782.24641682697</v>
      </c>
      <c r="M55" s="56">
        <f t="shared" si="8"/>
        <v>238353.20289548446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1927500.3234668663</v>
      </c>
      <c r="Q55" s="56">
        <f t="shared" si="8"/>
        <v>7548562.1149521898</v>
      </c>
      <c r="R55" s="56">
        <f t="shared" si="8"/>
        <v>3242263.4345100001</v>
      </c>
      <c r="S55" s="56">
        <f t="shared" si="8"/>
        <v>13337108.520767525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40376370.969999991</v>
      </c>
      <c r="W55" s="56">
        <f t="shared" si="8"/>
        <v>161572911.46916798</v>
      </c>
      <c r="X55" s="56">
        <f t="shared" si="8"/>
        <v>2405509.0999999996</v>
      </c>
      <c r="Y55" s="56">
        <f t="shared" si="8"/>
        <v>9664866.7635749988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146351.33999999726</v>
      </c>
      <c r="AI55" s="56">
        <f t="shared" si="8"/>
        <v>604520.75419258873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25903711.799725242</v>
      </c>
      <c r="AM55" s="56">
        <f t="shared" si="8"/>
        <v>98520036.865005344</v>
      </c>
      <c r="AN55" s="56">
        <f t="shared" si="8"/>
        <v>4821383.3581500007</v>
      </c>
      <c r="AO55" s="56">
        <f t="shared" si="8"/>
        <v>968222.52890143998</v>
      </c>
      <c r="AP55" s="56">
        <f t="shared" si="8"/>
        <v>7128355.7711001448</v>
      </c>
      <c r="AQ55" s="56">
        <f t="shared" si="8"/>
        <v>3640041.0374521632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4373123.2868879996</v>
      </c>
      <c r="AZ55" s="56">
        <f t="shared" si="8"/>
        <v>23756.924137323233</v>
      </c>
      <c r="BA55" s="56">
        <f t="shared" si="8"/>
        <v>206406.98772400687</v>
      </c>
      <c r="BB55" s="56">
        <f t="shared" si="8"/>
        <v>71477.558219991173</v>
      </c>
      <c r="BC55" s="56">
        <f t="shared" si="8"/>
        <v>272663.38584799849</v>
      </c>
      <c r="BD55" s="56">
        <f t="shared" si="8"/>
        <v>17421.347599989847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4885909.5036820117</v>
      </c>
      <c r="BL55" s="56">
        <f t="shared" si="8"/>
        <v>115309.68579244606</v>
      </c>
      <c r="BM55" s="56">
        <f t="shared" si="8"/>
        <v>1093178.6555371636</v>
      </c>
      <c r="BN55" s="56">
        <f t="shared" si="8"/>
        <v>1245523.2591473821</v>
      </c>
      <c r="BO55" s="56">
        <f t="shared" si="8"/>
        <v>3.4691202304202307E-3</v>
      </c>
      <c r="BP55" s="56">
        <f t="shared" si="8"/>
        <v>261.46929932906545</v>
      </c>
      <c r="BQ55" s="56">
        <f t="shared" si="8"/>
        <v>4.0128798844989433E-3</v>
      </c>
      <c r="BR55" s="56">
        <f t="shared" si="8"/>
        <v>1535884.6860000035</v>
      </c>
      <c r="BS55" s="56">
        <f t="shared" si="8"/>
        <v>6033575.332414289</v>
      </c>
      <c r="BT55" s="56">
        <f t="shared" ref="BT55:CV55" si="9">+BT8+BT54</f>
        <v>1597554.3049320178</v>
      </c>
      <c r="BU55" s="56">
        <f t="shared" si="9"/>
        <v>6213973.0084842881</v>
      </c>
      <c r="BV55" s="56">
        <f t="shared" si="9"/>
        <v>9298.8778600000005</v>
      </c>
      <c r="BW55" s="56">
        <f t="shared" si="9"/>
        <v>199664.236</v>
      </c>
      <c r="BX55" s="56">
        <f t="shared" si="9"/>
        <v>22663.665000000001</v>
      </c>
      <c r="BY55" s="56">
        <f t="shared" si="9"/>
        <v>764326.75994000048</v>
      </c>
      <c r="BZ55" s="56">
        <f t="shared" si="9"/>
        <v>631467.18013999145</v>
      </c>
      <c r="CA55" s="56">
        <f t="shared" si="9"/>
        <v>5334573.2755599935</v>
      </c>
      <c r="CB55" s="56">
        <f t="shared" si="9"/>
        <v>19818.565999999999</v>
      </c>
      <c r="CC55" s="56">
        <f t="shared" si="9"/>
        <v>1109815.122</v>
      </c>
      <c r="CD55" s="56">
        <f t="shared" si="9"/>
        <v>0</v>
      </c>
      <c r="CE55" s="56">
        <f t="shared" si="9"/>
        <v>28392.831999999995</v>
      </c>
      <c r="CF55" s="56">
        <f t="shared" si="9"/>
        <v>1358895.952</v>
      </c>
      <c r="CG55" s="56">
        <f t="shared" si="9"/>
        <v>443799.8885</v>
      </c>
      <c r="CH55" s="56">
        <f t="shared" si="9"/>
        <v>2.9318200000000001</v>
      </c>
      <c r="CI55" s="56">
        <f t="shared" si="9"/>
        <v>1085084.3324399991</v>
      </c>
      <c r="CJ55" s="56">
        <f t="shared" si="9"/>
        <v>796238.47703999979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888148.40451000037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408245399.06292492</v>
      </c>
    </row>
    <row r="56" spans="1:101" x14ac:dyDescent="0.3">
      <c r="D56" s="57" t="s">
        <v>143</v>
      </c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57"/>
      <c r="O57" s="57"/>
      <c r="P57" s="67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172597505.4066352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55748416.684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7295102.994425199</v>
      </c>
      <c r="E62" s="67">
        <f>-5780448.49+478.74295</f>
        <v>-5779969.7470500004</v>
      </c>
      <c r="F62" s="89" t="s">
        <v>153</v>
      </c>
      <c r="G62" s="91">
        <f>P55</f>
        <v>1927500.3234668663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5582000</v>
      </c>
      <c r="E63" s="67" t="s">
        <v>205</v>
      </c>
      <c r="F63" s="89" t="s">
        <v>155</v>
      </c>
      <c r="G63" s="91">
        <f>R55</f>
        <v>3242263.4345100001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60432219.467209995</v>
      </c>
      <c r="E64" s="67" t="s">
        <v>205</v>
      </c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43539766.261</v>
      </c>
      <c r="E65" s="67" t="s">
        <v>205</v>
      </c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40376370.969999991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2405509.0999999996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-191363600.9987936</v>
      </c>
      <c r="E73" s="71"/>
      <c r="F73" s="114" t="s">
        <v>163</v>
      </c>
      <c r="G73" s="115">
        <f>L55*1000</f>
        <v>201782246.41682696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238353202.89548445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-93396471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-63626224.622000001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-30686436.086923599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-3546800</v>
      </c>
      <c r="E81" s="101" t="s">
        <v>205</v>
      </c>
      <c r="F81" s="128" t="s">
        <v>172</v>
      </c>
      <c r="G81" s="126">
        <f>AH55</f>
        <v>146351.33999999726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-107669.28986999999</v>
      </c>
      <c r="E82" s="71" t="s">
        <v>205</v>
      </c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206373.13072400689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36.405000000000001</v>
      </c>
      <c r="L92" s="143">
        <f>BA50+BA51+BA53+BA40+BA42+BA43+BA45</f>
        <v>-2.548</v>
      </c>
      <c r="M92" s="144">
        <f t="shared" si="10"/>
        <v>206406.98772400687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272618.66084799852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48.091000000000001</v>
      </c>
      <c r="L98" s="143">
        <f>BC50+BC51+BC53+BC40+BC42+BC43+BC45</f>
        <v>-3.3660000000000001</v>
      </c>
      <c r="M98" s="144">
        <f t="shared" si="10"/>
        <v>272663.38584799855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71465.833219991167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12.606999999999999</v>
      </c>
      <c r="L99" s="143">
        <f>BB50+BB51+BB53+BB40+BB42+BB43+BB45</f>
        <v>-0.88200000000000001</v>
      </c>
      <c r="M99" s="144">
        <f t="shared" si="10"/>
        <v>71477.558219991173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17418.489599989847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3.073</v>
      </c>
      <c r="L104" s="143">
        <f>BD50+BD51+BD53+BD40+BD42+BD43+BD45</f>
        <v>-0.215</v>
      </c>
      <c r="M104" s="144">
        <f t="shared" si="10"/>
        <v>17421.347599989847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4373123.2868879996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4373123.2868879996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608542.92869167938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36.405000000000001</v>
      </c>
      <c r="L108" s="98">
        <f t="shared" si="11"/>
        <v>-2.548</v>
      </c>
      <c r="M108" s="98">
        <f t="shared" si="11"/>
        <v>608576.78569167934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847722.1527723528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60.698</v>
      </c>
      <c r="L109" s="98">
        <f t="shared" si="12"/>
        <v>-4.2480000000000002</v>
      </c>
      <c r="M109" s="98">
        <f t="shared" si="12"/>
        <v>847778.60277235275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4650515.3529914301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3.073</v>
      </c>
      <c r="L110" s="98">
        <f t="shared" si="13"/>
        <v>-0.215</v>
      </c>
      <c r="M110" s="98">
        <f t="shared" si="13"/>
        <v>4650518.2109914301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  <mergeCell ref="A9:A29"/>
    <mergeCell ref="D1:BK1"/>
    <mergeCell ref="BL1:BN1"/>
    <mergeCell ref="BR1:CJ1"/>
    <mergeCell ref="CW2:CW4"/>
    <mergeCell ref="A5:A8"/>
  </mergeCell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+'SEP 16'!D55</f>
        <v>453372.22725994512</v>
      </c>
      <c r="E5" s="18">
        <f>+'SEP 16'!E55</f>
        <v>12033795.993385337</v>
      </c>
      <c r="F5" s="18">
        <f>+'SEP 16'!F55</f>
        <v>7845380.855394369</v>
      </c>
      <c r="G5" s="18">
        <f>+'SEP 16'!G55</f>
        <v>0</v>
      </c>
      <c r="H5" s="18">
        <f>+'SEP 16'!H55</f>
        <v>0</v>
      </c>
      <c r="I5" s="18">
        <f>+'SEP 16'!I55</f>
        <v>75135.920764578346</v>
      </c>
      <c r="J5" s="18">
        <f>+'SEP 16'!J55</f>
        <v>0</v>
      </c>
      <c r="K5" s="18">
        <f>+'SEP 16'!K55</f>
        <v>163081.68768414296</v>
      </c>
      <c r="L5" s="18">
        <f>+'SEP 16'!L55</f>
        <v>201782.24641682697</v>
      </c>
      <c r="M5" s="18">
        <f>+'SEP 16'!M55</f>
        <v>238353.20289548446</v>
      </c>
      <c r="N5" s="18">
        <f>+'SEP 16'!N55</f>
        <v>120822.5199999999</v>
      </c>
      <c r="O5" s="18">
        <f>+'SEP 16'!O55</f>
        <v>485514.42259319959</v>
      </c>
      <c r="P5" s="18">
        <f>+'SEP 16'!P55</f>
        <v>1927500.3234668663</v>
      </c>
      <c r="Q5" s="18">
        <f>+'SEP 16'!Q55</f>
        <v>7548562.1149521898</v>
      </c>
      <c r="R5" s="18">
        <f>+'SEP 16'!R55</f>
        <v>3242263.4345100001</v>
      </c>
      <c r="S5" s="18">
        <f>+'SEP 16'!S55</f>
        <v>13337108.520767525</v>
      </c>
      <c r="T5" s="18">
        <f>+'SEP 16'!T55</f>
        <v>56575.250000000007</v>
      </c>
      <c r="U5" s="18">
        <f>+'SEP 16'!U55</f>
        <v>227353.77856949999</v>
      </c>
      <c r="V5" s="18">
        <f>+'SEP 16'!V55</f>
        <v>40376370.969999991</v>
      </c>
      <c r="W5" s="18">
        <f>+'SEP 16'!W55</f>
        <v>161572911.46916798</v>
      </c>
      <c r="X5" s="18">
        <f>+'SEP 16'!X55</f>
        <v>2405509.0999999996</v>
      </c>
      <c r="Y5" s="18">
        <f>+'SEP 16'!Y55</f>
        <v>9664866.7635749988</v>
      </c>
      <c r="Z5" s="18">
        <f>+'SEP 16'!Z55</f>
        <v>9662.5274983807467</v>
      </c>
      <c r="AA5" s="18">
        <f>+'SEP 16'!AA55</f>
        <v>38827.997124768175</v>
      </c>
      <c r="AB5" s="18">
        <f>+'SEP 16'!AB55</f>
        <v>7542.7499999967404</v>
      </c>
      <c r="AC5" s="18">
        <f>+'SEP 16'!AC55</f>
        <v>30309.862027486903</v>
      </c>
      <c r="AD5" s="18">
        <f>+'SEP 16'!AD55</f>
        <v>5155</v>
      </c>
      <c r="AE5" s="18">
        <f>+'SEP 16'!AE55</f>
        <v>20714.903549999999</v>
      </c>
      <c r="AF5" s="18">
        <f>+'SEP 16'!AF55</f>
        <v>7956.8699999451637</v>
      </c>
      <c r="AG5" s="18">
        <f>+'SEP 16'!AG55</f>
        <v>31973.965976479645</v>
      </c>
      <c r="AH5" s="18">
        <f>+'SEP 16'!AH55</f>
        <v>146351.33999999726</v>
      </c>
      <c r="AI5" s="18">
        <f>+'SEP 16'!AI55</f>
        <v>604520.75419258873</v>
      </c>
      <c r="AJ5" s="18">
        <f>+'SEP 16'!AJ55</f>
        <v>675895.70999999822</v>
      </c>
      <c r="AK5" s="18">
        <f>+'SEP 16'!AK55</f>
        <v>2716026.0800210927</v>
      </c>
      <c r="AL5" s="18">
        <f>+'SEP 16'!AL55</f>
        <v>25903711.799725242</v>
      </c>
      <c r="AM5" s="18">
        <f>+'SEP 16'!AM55</f>
        <v>98520036.865005344</v>
      </c>
      <c r="AN5" s="18">
        <f>+'SEP 16'!AN55</f>
        <v>4821383.3581500007</v>
      </c>
      <c r="AO5" s="18">
        <f>+'SEP 16'!AO55</f>
        <v>968222.52890143998</v>
      </c>
      <c r="AP5" s="18">
        <f>+'SEP 16'!AP55</f>
        <v>7128355.7711001448</v>
      </c>
      <c r="AQ5" s="18">
        <f>+'SEP 16'!AQ55</f>
        <v>3640041.0374521632</v>
      </c>
      <c r="AR5" s="18">
        <f>+'SEP 16'!AR55</f>
        <v>33467.106463993005</v>
      </c>
      <c r="AS5" s="18">
        <f>+'SEP 16'!AS55</f>
        <v>6.3419079996137473</v>
      </c>
      <c r="AT5" s="18">
        <f>+'SEP 16'!AT55</f>
        <v>11.326432002509915</v>
      </c>
      <c r="AU5" s="18">
        <f>+'SEP 16'!AU55</f>
        <v>70852.565203997277</v>
      </c>
      <c r="AV5" s="18">
        <f>+'SEP 16'!AV55</f>
        <v>529097.77060280275</v>
      </c>
      <c r="AW5" s="18">
        <f>+'SEP 16'!AW55</f>
        <v>87470.533549996806</v>
      </c>
      <c r="AX5" s="18">
        <f>+'SEP 16'!AX55</f>
        <v>1064.5961240010877</v>
      </c>
      <c r="AY5" s="18">
        <f>+'SEP 16'!AY55</f>
        <v>4373123.2868879996</v>
      </c>
      <c r="AZ5" s="18">
        <f>+'SEP 16'!AZ55</f>
        <v>23756.924137323233</v>
      </c>
      <c r="BA5" s="18">
        <f>+'SEP 16'!BA55</f>
        <v>206406.98772400687</v>
      </c>
      <c r="BB5" s="18">
        <f>+'SEP 16'!BB55</f>
        <v>71477.558219991173</v>
      </c>
      <c r="BC5" s="18">
        <f>+'SEP 16'!BC55</f>
        <v>272663.38584799849</v>
      </c>
      <c r="BD5" s="18">
        <f>+'SEP 16'!BD55</f>
        <v>17421.347599989847</v>
      </c>
      <c r="BE5" s="18">
        <f>+'SEP 16'!BE55</f>
        <v>256626.99715368054</v>
      </c>
      <c r="BF5" s="18">
        <f>+'SEP 16'!BF55</f>
        <v>294827.49323035986</v>
      </c>
      <c r="BG5" s="18">
        <f>+'SEP 16'!BG55</f>
        <v>35110.408018882757</v>
      </c>
      <c r="BH5" s="18">
        <f>+'SEP 16'!BH55</f>
        <v>24605.160800002101</v>
      </c>
      <c r="BI5" s="18">
        <f>+'SEP 16'!BI55</f>
        <v>207727.90101</v>
      </c>
      <c r="BJ5" s="18">
        <f>+'SEP 16'!BJ55</f>
        <v>154010.6032805602</v>
      </c>
      <c r="BK5" s="18">
        <f>+'SEP 16'!BK55</f>
        <v>4885909.5036820117</v>
      </c>
      <c r="BL5" s="18">
        <f>+'SEP 16'!BL55</f>
        <v>115309.68579244606</v>
      </c>
      <c r="BM5" s="18">
        <f>+'SEP 16'!BM55</f>
        <v>1093178.6555371636</v>
      </c>
      <c r="BN5" s="18">
        <f>+'SEP 16'!BN55</f>
        <v>1245523.2591473821</v>
      </c>
      <c r="BO5" s="18">
        <f>+'SEP 16'!BO55</f>
        <v>3.4691202304202307E-3</v>
      </c>
      <c r="BP5" s="18">
        <f>+'SEP 16'!BP55</f>
        <v>261.46929932906545</v>
      </c>
      <c r="BQ5" s="18">
        <f>+'SEP 16'!BQ55</f>
        <v>4.0128798844989433E-3</v>
      </c>
      <c r="BR5" s="18">
        <f>+'SEP 16'!BR55</f>
        <v>1535884.6860000035</v>
      </c>
      <c r="BS5" s="18">
        <f>+'SEP 16'!BS55</f>
        <v>6033575.332414289</v>
      </c>
      <c r="BT5" s="18">
        <f>+'SEP 16'!BT55</f>
        <v>1597554.3049320178</v>
      </c>
      <c r="BU5" s="18">
        <f>+'SEP 16'!BU55</f>
        <v>6213973.0084842881</v>
      </c>
      <c r="BV5" s="18">
        <f>+'SEP 16'!BV55</f>
        <v>9298.8778600000005</v>
      </c>
      <c r="BW5" s="18">
        <f>+'SEP 16'!BW55</f>
        <v>199664.236</v>
      </c>
      <c r="BX5" s="18">
        <f>+'SEP 16'!BX55</f>
        <v>22663.665000000001</v>
      </c>
      <c r="BY5" s="18">
        <f>+'SEP 16'!BY55</f>
        <v>764326.75994000048</v>
      </c>
      <c r="BZ5" s="18">
        <f>+'SEP 16'!BZ55</f>
        <v>631467.18013999145</v>
      </c>
      <c r="CA5" s="18">
        <f>+'SEP 16'!CA55</f>
        <v>5334573.2755599935</v>
      </c>
      <c r="CB5" s="18">
        <f>+'SEP 16'!CB55</f>
        <v>19818.565999999999</v>
      </c>
      <c r="CC5" s="18">
        <f>+'SEP 16'!CC55</f>
        <v>1109815.122</v>
      </c>
      <c r="CD5" s="18">
        <f>+'SEP 16'!CD55</f>
        <v>0</v>
      </c>
      <c r="CE5" s="18">
        <f>+'SEP 16'!CE55</f>
        <v>28392.831999999995</v>
      </c>
      <c r="CF5" s="18">
        <f>+'SEP 16'!CF55</f>
        <v>1358895.952</v>
      </c>
      <c r="CG5" s="18">
        <f>+'SEP 16'!CG55</f>
        <v>443799.8885</v>
      </c>
      <c r="CH5" s="18">
        <f>+'SEP 16'!CH55</f>
        <v>2.9318200000000001</v>
      </c>
      <c r="CI5" s="18">
        <f>+'SEP 16'!CI55</f>
        <v>1085084.3324399991</v>
      </c>
      <c r="CJ5" s="18">
        <f>+'SEP 16'!CJ55</f>
        <v>796238.47703999979</v>
      </c>
      <c r="CK5" s="18">
        <f>+'SEP 16'!CK55</f>
        <v>0</v>
      </c>
      <c r="CL5" s="18">
        <f>+'SEP 16'!CL55</f>
        <v>0</v>
      </c>
      <c r="CM5" s="18">
        <f>+'SEP 16'!CM55</f>
        <v>79545.207070000004</v>
      </c>
      <c r="CN5" s="18">
        <f>+'SEP 16'!CN55</f>
        <v>647657.33605000004</v>
      </c>
      <c r="CO5" s="18">
        <f>+'SEP 16'!CO55</f>
        <v>736464.8368199995</v>
      </c>
      <c r="CP5" s="18">
        <f>+'SEP 16'!CP55</f>
        <v>9152723.6727600005</v>
      </c>
      <c r="CQ5" s="18">
        <f>+'SEP 16'!CQ55</f>
        <v>377715.39094000001</v>
      </c>
      <c r="CR5" s="18">
        <f>+'SEP 16'!CR55</f>
        <v>888148.40451000037</v>
      </c>
      <c r="CS5" s="18">
        <f>+'SEP 16'!CS55</f>
        <v>5013.4199999999992</v>
      </c>
      <c r="CT5" s="18">
        <f>+'SEP 16'!CT55</f>
        <v>20149.387893799994</v>
      </c>
      <c r="CU5" s="18">
        <f>+'SEP 16'!CU55</f>
        <v>5013.4199999999992</v>
      </c>
      <c r="CV5" s="18">
        <f>+'SEP 16'!CV55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408245399.06292492</v>
      </c>
    </row>
    <row r="6" spans="1:101" s="20" customFormat="1" x14ac:dyDescent="0.3">
      <c r="A6" s="173"/>
      <c r="B6" s="19"/>
      <c r="C6" s="19" t="s">
        <v>91</v>
      </c>
      <c r="D6" s="19">
        <v>-90249.68312999999</v>
      </c>
      <c r="E6" s="19">
        <v>6541179.0500999996</v>
      </c>
      <c r="F6" s="19">
        <v>14747996.296340002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-27716.89</v>
      </c>
      <c r="BS6" s="19">
        <v>-107594.7496288</v>
      </c>
      <c r="BT6" s="19">
        <v>-1526974.17</v>
      </c>
      <c r="BU6" s="19">
        <v>-5927591.5700063994</v>
      </c>
      <c r="BV6" s="19">
        <v>0</v>
      </c>
      <c r="BW6" s="19">
        <v>209.81500000000233</v>
      </c>
      <c r="BX6" s="19">
        <v>0</v>
      </c>
      <c r="BY6" s="19">
        <v>-14948.865999999967</v>
      </c>
      <c r="BZ6" s="19">
        <v>-5836824.5250000004</v>
      </c>
      <c r="CA6" s="19">
        <v>-3289321.6620000005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1585.8990000002086</v>
      </c>
      <c r="CJ6" s="19">
        <v>42084.46100000001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363122.5441299451</v>
      </c>
      <c r="E8" s="18">
        <f t="shared" si="0"/>
        <v>18574975.043485336</v>
      </c>
      <c r="F8" s="18">
        <f t="shared" si="0"/>
        <v>22593377.151734371</v>
      </c>
      <c r="G8" s="18">
        <f t="shared" si="0"/>
        <v>0</v>
      </c>
      <c r="H8" s="18">
        <f t="shared" si="0"/>
        <v>0</v>
      </c>
      <c r="I8" s="18">
        <f t="shared" si="0"/>
        <v>75135.920764578346</v>
      </c>
      <c r="J8" s="18">
        <f t="shared" si="0"/>
        <v>0</v>
      </c>
      <c r="K8" s="18">
        <f t="shared" si="0"/>
        <v>163081.68768414296</v>
      </c>
      <c r="L8" s="18">
        <f t="shared" si="0"/>
        <v>201782.24641682697</v>
      </c>
      <c r="M8" s="18">
        <f t="shared" si="0"/>
        <v>238353.20289548446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1927500.3234668663</v>
      </c>
      <c r="Q8" s="18">
        <f t="shared" si="0"/>
        <v>7548562.1149521898</v>
      </c>
      <c r="R8" s="18">
        <f t="shared" si="0"/>
        <v>3242263.4345100001</v>
      </c>
      <c r="S8" s="18">
        <f t="shared" si="0"/>
        <v>13337108.520767525</v>
      </c>
      <c r="T8" s="18">
        <f t="shared" si="0"/>
        <v>56575.250000000007</v>
      </c>
      <c r="U8" s="18">
        <f t="shared" si="0"/>
        <v>227353.77856949999</v>
      </c>
      <c r="V8" s="18">
        <f t="shared" si="0"/>
        <v>40376370.969999991</v>
      </c>
      <c r="W8" s="18">
        <f t="shared" si="0"/>
        <v>161572911.46916798</v>
      </c>
      <c r="X8" s="18">
        <f t="shared" si="0"/>
        <v>2405509.0999999996</v>
      </c>
      <c r="Y8" s="18">
        <f t="shared" si="0"/>
        <v>9664866.7635749988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146351.33999999726</v>
      </c>
      <c r="AI8" s="18">
        <f t="shared" si="0"/>
        <v>604520.75419258873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25903711.799725242</v>
      </c>
      <c r="AM8" s="18">
        <f t="shared" si="0"/>
        <v>98520036.865005344</v>
      </c>
      <c r="AN8" s="18">
        <f t="shared" si="0"/>
        <v>4821383.3581500007</v>
      </c>
      <c r="AO8" s="18">
        <f t="shared" si="0"/>
        <v>968222.52890143998</v>
      </c>
      <c r="AP8" s="18">
        <f t="shared" si="0"/>
        <v>7128355.7711001448</v>
      </c>
      <c r="AQ8" s="18">
        <f t="shared" si="0"/>
        <v>3640041.0374521632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4373123.2868879996</v>
      </c>
      <c r="AZ8" s="18">
        <f t="shared" si="0"/>
        <v>23756.924137323233</v>
      </c>
      <c r="BA8" s="18">
        <f t="shared" si="0"/>
        <v>206406.98772400687</v>
      </c>
      <c r="BB8" s="18">
        <f t="shared" si="0"/>
        <v>71477.558219991173</v>
      </c>
      <c r="BC8" s="18">
        <f t="shared" si="0"/>
        <v>272663.38584799849</v>
      </c>
      <c r="BD8" s="18">
        <f t="shared" si="0"/>
        <v>17421.347599989847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4885909.5036820117</v>
      </c>
      <c r="BL8" s="18">
        <f t="shared" si="0"/>
        <v>115309.68579244606</v>
      </c>
      <c r="BM8" s="18">
        <f t="shared" si="0"/>
        <v>1093178.6555371636</v>
      </c>
      <c r="BN8" s="18">
        <f t="shared" si="0"/>
        <v>1245523.2591473821</v>
      </c>
      <c r="BO8" s="18">
        <f t="shared" si="0"/>
        <v>3.4691202304202307E-3</v>
      </c>
      <c r="BP8" s="18">
        <f t="shared" si="0"/>
        <v>261.46929932906545</v>
      </c>
      <c r="BQ8" s="18">
        <f t="shared" si="0"/>
        <v>4.0128798844989433E-3</v>
      </c>
      <c r="BR8" s="18">
        <f t="shared" si="0"/>
        <v>1508167.7960000036</v>
      </c>
      <c r="BS8" s="18">
        <f t="shared" si="0"/>
        <v>5925980.582785489</v>
      </c>
      <c r="BT8" s="18">
        <f t="shared" ref="BT8:CV8" si="1">BT5+BT6+BT7</f>
        <v>70580.134932017885</v>
      </c>
      <c r="BU8" s="18">
        <f t="shared" si="1"/>
        <v>286381.4384778887</v>
      </c>
      <c r="BV8" s="18">
        <f t="shared" si="1"/>
        <v>9298.8778600000005</v>
      </c>
      <c r="BW8" s="18">
        <f t="shared" si="1"/>
        <v>199874.05100000001</v>
      </c>
      <c r="BX8" s="18">
        <f t="shared" si="1"/>
        <v>22663.665000000001</v>
      </c>
      <c r="BY8" s="18">
        <f>+BY5+BY6+BY7:BZ7</f>
        <v>749377.89394000056</v>
      </c>
      <c r="BZ8" s="18">
        <f t="shared" si="1"/>
        <v>-5205357.3448600089</v>
      </c>
      <c r="CA8" s="18">
        <f t="shared" si="1"/>
        <v>2045251.613559993</v>
      </c>
      <c r="CB8" s="18">
        <f t="shared" si="1"/>
        <v>19818.565999999999</v>
      </c>
      <c r="CC8" s="18">
        <f t="shared" si="1"/>
        <v>1109815.122</v>
      </c>
      <c r="CD8" s="18">
        <f t="shared" si="1"/>
        <v>0</v>
      </c>
      <c r="CE8" s="18">
        <f t="shared" si="1"/>
        <v>28392.831999999995</v>
      </c>
      <c r="CF8" s="18">
        <f t="shared" si="1"/>
        <v>1358895.952</v>
      </c>
      <c r="CG8" s="18">
        <f t="shared" si="1"/>
        <v>443799.8885</v>
      </c>
      <c r="CH8" s="18">
        <f t="shared" si="1"/>
        <v>2.9318200000000001</v>
      </c>
      <c r="CI8" s="18">
        <f t="shared" si="1"/>
        <v>1086670.2314399993</v>
      </c>
      <c r="CJ8" s="18">
        <f t="shared" si="1"/>
        <v>838322.9380399998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888148.40451000037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414311923.52859962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22982+23962</f>
        <v>46944</v>
      </c>
      <c r="M11" s="26">
        <v>174930</v>
      </c>
      <c r="N11" s="26"/>
      <c r="O11" s="26"/>
      <c r="P11" s="28">
        <v>8380.56</v>
      </c>
      <c r="Q11" s="26">
        <f>+(P11*3881.92)/1000</f>
        <v>32532.663475199999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254406.66347520001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>
        <v>10000000</v>
      </c>
      <c r="Q12" s="26">
        <f>+(P12*3881.92)/1000</f>
        <v>38819200</v>
      </c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38819200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>
        <v>-10000000</v>
      </c>
      <c r="Q19" s="26">
        <f>+(P19*3881.92)/1000</f>
        <v>-38819200</v>
      </c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-38819200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>
        <v>-34190301</v>
      </c>
      <c r="M20" s="29">
        <v>-86294142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-120484443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-57521370.082000002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-57521370.082000002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46041330.295000002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46041330.295000002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>
        <v>49945147.126999997</v>
      </c>
      <c r="M24" s="29">
        <v>87315561.794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137260708.921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86000</v>
      </c>
      <c r="E27" s="29"/>
      <c r="F27" s="29"/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5400000</v>
      </c>
      <c r="CA27" s="26">
        <v>2700000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8186000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-10043000</v>
      </c>
      <c r="F28" s="26">
        <v>-4511000</v>
      </c>
      <c r="G28" s="26"/>
      <c r="H28" s="26"/>
      <c r="I28" s="26"/>
      <c r="J28" s="26"/>
      <c r="K28" s="26"/>
      <c r="L28" s="27"/>
      <c r="M28" s="26">
        <v>-500000</v>
      </c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-15054000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>
        <v>-17284.34</v>
      </c>
      <c r="Q35" s="38">
        <f>+(P35*3881.92)/1000</f>
        <v>-67096.42513280001</v>
      </c>
      <c r="R35" s="38"/>
      <c r="S35" s="38"/>
      <c r="T35" s="38"/>
      <c r="U35" s="38"/>
      <c r="V35" s="38">
        <f>1570000+1780000</f>
        <v>3350000</v>
      </c>
      <c r="W35" s="38">
        <f>+(V35*3881.92)/1000</f>
        <v>13004432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12937335.5748672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f>-1775650-1780750-494727.23923-172856.50527</f>
        <v>-4223983.7445</v>
      </c>
      <c r="M38" s="39">
        <v>-712300</v>
      </c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-4936283.7445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-0.97299999999999998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-2.5489999999999999</v>
      </c>
      <c r="BB50" s="49">
        <v>-0.88300000000000001</v>
      </c>
      <c r="BC50" s="49">
        <v>-3.367</v>
      </c>
      <c r="BD50" s="49">
        <v>-0.215</v>
      </c>
      <c r="BE50" s="49"/>
      <c r="BF50" s="49"/>
      <c r="BG50" s="49"/>
      <c r="BH50" s="49"/>
      <c r="BI50" s="49"/>
      <c r="BJ50" s="49"/>
      <c r="BK50" s="49"/>
      <c r="BL50" s="49">
        <v>-1.4930000000000001</v>
      </c>
      <c r="BM50" s="49">
        <v>-14.154</v>
      </c>
      <c r="BN50" s="49">
        <v>-16.126999999999999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-39.760999999999996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-830.67499999999995</v>
      </c>
      <c r="F51" s="49">
        <v>-65.460999999999999</v>
      </c>
      <c r="G51" s="49"/>
      <c r="H51" s="49"/>
      <c r="I51" s="49"/>
      <c r="J51" s="49"/>
      <c r="K51" s="48"/>
      <c r="L51" s="48">
        <v>-20.646000000000001</v>
      </c>
      <c r="M51" s="48">
        <v>-8.2590000000000003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-925.04099999999994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13.90014</v>
      </c>
      <c r="J52" s="49"/>
      <c r="K52" s="49"/>
      <c r="L52" s="48"/>
      <c r="M52" s="48"/>
      <c r="N52" s="49"/>
      <c r="O52" s="49"/>
      <c r="P52" s="49"/>
      <c r="Q52" s="49"/>
      <c r="R52" s="49">
        <v>246.72</v>
      </c>
      <c r="S52" s="49">
        <f>+(R52*3881.92)/1000</f>
        <v>957.74730240000008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36.411000000000001</v>
      </c>
      <c r="BB52" s="49">
        <v>12.609</v>
      </c>
      <c r="BC52" s="49">
        <v>48.098999999999997</v>
      </c>
      <c r="BD52" s="49">
        <v>3.073</v>
      </c>
      <c r="BE52" s="49"/>
      <c r="BF52" s="49"/>
      <c r="BG52" s="49"/>
      <c r="BH52" s="49"/>
      <c r="BI52" s="49"/>
      <c r="BJ52" s="49"/>
      <c r="BK52" s="49"/>
      <c r="BL52" s="49">
        <v>21.32863</v>
      </c>
      <c r="BM52" s="49">
        <v>202.20335</v>
      </c>
      <c r="BN52" s="49">
        <v>230.38227000000001</v>
      </c>
      <c r="BO52" s="49"/>
      <c r="BP52" s="49">
        <f>48.36/1000</f>
        <v>4.836E-2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1525.8020524000003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-3.3226999999999998</v>
      </c>
      <c r="F53" s="49">
        <f>(F10+F13+F16+F17+F33+F38+F47+F35+F40)*4/1000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-16896.017561999997</v>
      </c>
      <c r="M53" s="48">
        <f>(M10+M13+M17+M33+M38+M40+M51+M36+M49+M16)*4/1000</f>
        <v>-2849.2330359999996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-19748.573297999996</v>
      </c>
    </row>
    <row r="54" spans="1:101" x14ac:dyDescent="0.3">
      <c r="C54" s="50" t="s">
        <v>141</v>
      </c>
      <c r="D54" s="51">
        <f t="shared" ref="D54:AM54" si="6">SUM(D9:D53)</f>
        <v>86000</v>
      </c>
      <c r="E54" s="51">
        <f t="shared" si="6"/>
        <v>-10043833.9977</v>
      </c>
      <c r="F54" s="51">
        <f>SUM(F9:F53)</f>
        <v>-4511065.4610000001</v>
      </c>
      <c r="G54" s="51">
        <f t="shared" si="6"/>
        <v>0</v>
      </c>
      <c r="H54" s="51">
        <f t="shared" si="6"/>
        <v>0</v>
      </c>
      <c r="I54" s="51">
        <f t="shared" si="6"/>
        <v>12.92714</v>
      </c>
      <c r="J54" s="51">
        <f t="shared" si="6"/>
        <v>0</v>
      </c>
      <c r="K54" s="51">
        <f t="shared" si="6"/>
        <v>0</v>
      </c>
      <c r="L54" s="52">
        <f>SUM(L9:L53)</f>
        <v>80849.931937996109</v>
      </c>
      <c r="M54" s="51">
        <f t="shared" si="6"/>
        <v>-18807.698036000238</v>
      </c>
      <c r="N54" s="51">
        <f t="shared" si="6"/>
        <v>0</v>
      </c>
      <c r="O54" s="51">
        <f t="shared" si="6"/>
        <v>0</v>
      </c>
      <c r="P54" s="51">
        <f t="shared" si="6"/>
        <v>-8903.7799999994786</v>
      </c>
      <c r="Q54" s="51">
        <f t="shared" si="6"/>
        <v>-34563.761657599476</v>
      </c>
      <c r="R54" s="51">
        <f t="shared" si="6"/>
        <v>246.72</v>
      </c>
      <c r="S54" s="51">
        <f t="shared" si="6"/>
        <v>957.74730240000008</v>
      </c>
      <c r="T54" s="51">
        <f t="shared" si="6"/>
        <v>0</v>
      </c>
      <c r="U54" s="51">
        <f t="shared" si="6"/>
        <v>0</v>
      </c>
      <c r="V54" s="51">
        <f t="shared" si="6"/>
        <v>3350000</v>
      </c>
      <c r="W54" s="51">
        <f t="shared" si="6"/>
        <v>13004432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33.862000000000002</v>
      </c>
      <c r="BB54" s="51">
        <f t="shared" si="7"/>
        <v>11.725999999999999</v>
      </c>
      <c r="BC54" s="51">
        <f t="shared" si="7"/>
        <v>44.731999999999999</v>
      </c>
      <c r="BD54" s="51">
        <f t="shared" si="7"/>
        <v>2.8580000000000001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19.835630000000002</v>
      </c>
      <c r="BM54" s="51">
        <f t="shared" si="7"/>
        <v>188.04935</v>
      </c>
      <c r="BN54" s="51">
        <f t="shared" si="7"/>
        <v>214.25527</v>
      </c>
      <c r="BO54" s="51">
        <f t="shared" si="7"/>
        <v>0</v>
      </c>
      <c r="BP54" s="51">
        <f t="shared" si="7"/>
        <v>4.836E-2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5400000</v>
      </c>
      <c r="CA54" s="51">
        <f t="shared" si="7"/>
        <v>2700000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6664497.0545967948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449122.5441299451</v>
      </c>
      <c r="E55" s="56">
        <f t="shared" si="8"/>
        <v>8531141.0457853358</v>
      </c>
      <c r="F55" s="56">
        <f>+F8+F54</f>
        <v>18082311.690734372</v>
      </c>
      <c r="G55" s="56">
        <f t="shared" si="8"/>
        <v>0</v>
      </c>
      <c r="H55" s="56">
        <f t="shared" si="8"/>
        <v>0</v>
      </c>
      <c r="I55" s="56">
        <f t="shared" si="8"/>
        <v>75148.847904578346</v>
      </c>
      <c r="J55" s="56">
        <f t="shared" si="8"/>
        <v>0</v>
      </c>
      <c r="K55" s="56">
        <f t="shared" si="8"/>
        <v>163081.68768414296</v>
      </c>
      <c r="L55" s="56">
        <f t="shared" si="8"/>
        <v>282632.17835482309</v>
      </c>
      <c r="M55" s="56">
        <f t="shared" si="8"/>
        <v>219545.50485948421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1918596.5434668667</v>
      </c>
      <c r="Q55" s="56">
        <f t="shared" si="8"/>
        <v>7513998.3532945905</v>
      </c>
      <c r="R55" s="56">
        <f t="shared" si="8"/>
        <v>3242510.1545100003</v>
      </c>
      <c r="S55" s="56">
        <f t="shared" si="8"/>
        <v>13338066.268069925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43726370.969999991</v>
      </c>
      <c r="W55" s="56">
        <f t="shared" si="8"/>
        <v>174577343.46916798</v>
      </c>
      <c r="X55" s="56">
        <f t="shared" si="8"/>
        <v>2405509.0999999996</v>
      </c>
      <c r="Y55" s="56">
        <f t="shared" si="8"/>
        <v>9664866.7635749988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146351.33999999726</v>
      </c>
      <c r="AI55" s="56">
        <f t="shared" si="8"/>
        <v>604520.75419258873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25903711.799725242</v>
      </c>
      <c r="AM55" s="56">
        <f t="shared" si="8"/>
        <v>98520036.865005344</v>
      </c>
      <c r="AN55" s="56">
        <f t="shared" si="8"/>
        <v>4821383.3581500007</v>
      </c>
      <c r="AO55" s="56">
        <f t="shared" si="8"/>
        <v>968222.52890143998</v>
      </c>
      <c r="AP55" s="56">
        <f t="shared" si="8"/>
        <v>7128355.7711001448</v>
      </c>
      <c r="AQ55" s="56">
        <f t="shared" si="8"/>
        <v>3640041.0374521632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4373123.2868879996</v>
      </c>
      <c r="AZ55" s="56">
        <f t="shared" si="8"/>
        <v>23756.924137323233</v>
      </c>
      <c r="BA55" s="56">
        <f t="shared" si="8"/>
        <v>206440.84972400687</v>
      </c>
      <c r="BB55" s="56">
        <f t="shared" si="8"/>
        <v>71489.284219991168</v>
      </c>
      <c r="BC55" s="56">
        <f t="shared" si="8"/>
        <v>272708.11784799851</v>
      </c>
      <c r="BD55" s="56">
        <f t="shared" si="8"/>
        <v>17424.205599989848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4885909.5036820117</v>
      </c>
      <c r="BL55" s="56">
        <f t="shared" si="8"/>
        <v>115329.52142244607</v>
      </c>
      <c r="BM55" s="56">
        <f t="shared" si="8"/>
        <v>1093366.7048871636</v>
      </c>
      <c r="BN55" s="56">
        <f t="shared" si="8"/>
        <v>1245737.5144173822</v>
      </c>
      <c r="BO55" s="56">
        <f t="shared" si="8"/>
        <v>3.4691202304202307E-3</v>
      </c>
      <c r="BP55" s="56">
        <f t="shared" si="8"/>
        <v>261.51765932906545</v>
      </c>
      <c r="BQ55" s="56">
        <f t="shared" si="8"/>
        <v>4.0128798844989433E-3</v>
      </c>
      <c r="BR55" s="56">
        <f t="shared" si="8"/>
        <v>1508167.7960000036</v>
      </c>
      <c r="BS55" s="56">
        <f t="shared" si="8"/>
        <v>5925980.582785489</v>
      </c>
      <c r="BT55" s="56">
        <f t="shared" ref="BT55:CV55" si="9">+BT8+BT54</f>
        <v>70580.134932017885</v>
      </c>
      <c r="BU55" s="56">
        <f t="shared" si="9"/>
        <v>286381.4384778887</v>
      </c>
      <c r="BV55" s="56">
        <f t="shared" si="9"/>
        <v>9298.8778600000005</v>
      </c>
      <c r="BW55" s="56">
        <f t="shared" si="9"/>
        <v>199874.05100000001</v>
      </c>
      <c r="BX55" s="56">
        <f t="shared" si="9"/>
        <v>22663.665000000001</v>
      </c>
      <c r="BY55" s="56">
        <f t="shared" si="9"/>
        <v>749377.89394000056</v>
      </c>
      <c r="BZ55" s="56">
        <f t="shared" si="9"/>
        <v>194642.65513999108</v>
      </c>
      <c r="CA55" s="56">
        <f t="shared" si="9"/>
        <v>4745251.613559993</v>
      </c>
      <c r="CB55" s="56">
        <f t="shared" si="9"/>
        <v>19818.565999999999</v>
      </c>
      <c r="CC55" s="56">
        <f t="shared" si="9"/>
        <v>1109815.122</v>
      </c>
      <c r="CD55" s="56">
        <f t="shared" si="9"/>
        <v>0</v>
      </c>
      <c r="CE55" s="56">
        <f t="shared" si="9"/>
        <v>28392.831999999995</v>
      </c>
      <c r="CF55" s="56">
        <f t="shared" si="9"/>
        <v>1358895.952</v>
      </c>
      <c r="CG55" s="56">
        <f t="shared" si="9"/>
        <v>443799.8885</v>
      </c>
      <c r="CH55" s="56">
        <f t="shared" si="9"/>
        <v>2.9318200000000001</v>
      </c>
      <c r="CI55" s="56">
        <f t="shared" si="9"/>
        <v>1086670.2314399993</v>
      </c>
      <c r="CJ55" s="56">
        <f t="shared" si="9"/>
        <v>838322.9380399998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888148.40451000037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420976420.58319634</v>
      </c>
    </row>
    <row r="56" spans="1:101" x14ac:dyDescent="0.3">
      <c r="D56" s="57" t="s">
        <v>143</v>
      </c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57"/>
      <c r="O57" s="57"/>
      <c r="P57" s="67"/>
      <c r="Q57" s="67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230561645.87947521</v>
      </c>
      <c r="E60" s="71"/>
      <c r="F60" s="84" t="s">
        <v>49</v>
      </c>
      <c r="G60" s="84" t="s">
        <v>149</v>
      </c>
      <c r="H60" s="85"/>
      <c r="I60" s="86"/>
      <c r="J60" s="5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46041330.295000002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P61" s="73"/>
      <c r="Q61" s="73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254406.66347520001</v>
      </c>
      <c r="E62" s="67">
        <f>1482408.2+2903425.8322</f>
        <v>4385834.0322000002</v>
      </c>
      <c r="F62" s="89" t="s">
        <v>153</v>
      </c>
      <c r="G62" s="91">
        <f>P55</f>
        <v>1918596.5434668667</v>
      </c>
      <c r="H62" s="92"/>
      <c r="I62" s="86"/>
      <c r="J62" s="66"/>
      <c r="N62" s="67"/>
      <c r="P62" s="73"/>
      <c r="Q62" s="67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8186000</v>
      </c>
      <c r="E63" s="67" t="s">
        <v>205</v>
      </c>
      <c r="F63" s="89" t="s">
        <v>155</v>
      </c>
      <c r="G63" s="91">
        <f>R55</f>
        <v>3242510.1545100003</v>
      </c>
      <c r="H63" s="93"/>
      <c r="I63" s="94"/>
      <c r="J63" s="5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176079908.921</v>
      </c>
      <c r="E64" s="67" t="s">
        <v>205</v>
      </c>
      <c r="H64" s="57"/>
      <c r="I64" s="77"/>
      <c r="J64" s="66"/>
      <c r="N64" s="67"/>
      <c r="O64" s="67"/>
      <c r="P64" s="79"/>
      <c r="Q64" s="67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67"/>
      <c r="O65" s="67"/>
      <c r="P65" s="70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106"/>
      <c r="Q67" s="57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43726370.969999991</v>
      </c>
      <c r="H68" s="57"/>
      <c r="I68" s="98"/>
      <c r="J68" s="108"/>
      <c r="M68" s="101"/>
      <c r="N68" s="101"/>
      <c r="O68" s="69"/>
      <c r="P68" s="5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2405509.0999999996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-236815296.82650003</v>
      </c>
      <c r="E73" s="71"/>
      <c r="F73" s="114" t="s">
        <v>163</v>
      </c>
      <c r="G73" s="115">
        <f>L55*1000</f>
        <v>282632178.35482311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219545504.8594842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-159303643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-57521370.082000002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-15054000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-4936283.7445</v>
      </c>
      <c r="E81" s="101" t="s">
        <v>205</v>
      </c>
      <c r="F81" s="128" t="s">
        <v>172</v>
      </c>
      <c r="G81" s="126">
        <f>AH55</f>
        <v>146351.33999999726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206406.98772400687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36.411000000000001</v>
      </c>
      <c r="L92" s="143">
        <f>BA50+BA51+BA53+BA40+BA42+BA43+BA45</f>
        <v>-2.5489999999999999</v>
      </c>
      <c r="M92" s="144">
        <f t="shared" si="10"/>
        <v>206440.84972400687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272663.38584799849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48.098999999999997</v>
      </c>
      <c r="L98" s="143">
        <f>BC50+BC51+BC53+BC40+BC42+BC43+BC45</f>
        <v>-3.367</v>
      </c>
      <c r="M98" s="144">
        <f t="shared" si="10"/>
        <v>272708.11784799845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71477.558219991173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12.609</v>
      </c>
      <c r="L99" s="143">
        <f>BB50+BB51+BB53+BB40+BB42+BB43+BB45</f>
        <v>-0.88300000000000001</v>
      </c>
      <c r="M99" s="144">
        <f t="shared" si="10"/>
        <v>71489.284219991168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17421.347599989847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3.073</v>
      </c>
      <c r="L104" s="143">
        <f>BD50+BD51+BD53+BD40+BD42+BD43+BD45</f>
        <v>-0.215</v>
      </c>
      <c r="M104" s="144">
        <f t="shared" si="10"/>
        <v>17424.205599989848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4373123.2868879996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4373123.2868879996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608576.78569167934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36.411000000000001</v>
      </c>
      <c r="L108" s="98">
        <f t="shared" si="11"/>
        <v>-2.5489999999999999</v>
      </c>
      <c r="M108" s="98">
        <f t="shared" si="11"/>
        <v>608610.6476916793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847778.60277235275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60.707999999999998</v>
      </c>
      <c r="L109" s="98">
        <f t="shared" si="12"/>
        <v>-4.25</v>
      </c>
      <c r="M109" s="98">
        <f t="shared" si="12"/>
        <v>847835.06077235274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4650518.2109914301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3.073</v>
      </c>
      <c r="L110" s="98">
        <f t="shared" si="13"/>
        <v>-0.215</v>
      </c>
      <c r="M110" s="98">
        <f t="shared" si="13"/>
        <v>4650521.0689914301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+'SEP 17'!D55</f>
        <v>449122.5441299451</v>
      </c>
      <c r="E5" s="18">
        <f>+'SEP 17'!E55</f>
        <v>8531141.0457853358</v>
      </c>
      <c r="F5" s="18">
        <f>+'SEP 17'!F55</f>
        <v>18082311.690734372</v>
      </c>
      <c r="G5" s="18">
        <f>+'SEP 17'!G55</f>
        <v>0</v>
      </c>
      <c r="H5" s="18">
        <f>+'SEP 17'!H55</f>
        <v>0</v>
      </c>
      <c r="I5" s="18">
        <f>+'SEP 17'!I55</f>
        <v>75148.847904578346</v>
      </c>
      <c r="J5" s="18">
        <f>+'SEP 17'!J55</f>
        <v>0</v>
      </c>
      <c r="K5" s="18">
        <f>+'SEP 17'!K55</f>
        <v>163081.68768414296</v>
      </c>
      <c r="L5" s="18">
        <f>+'SEP 17'!L55</f>
        <v>282632.17835482309</v>
      </c>
      <c r="M5" s="18">
        <f>+'SEP 17'!M55</f>
        <v>219545.50485948421</v>
      </c>
      <c r="N5" s="18">
        <f>+'SEP 17'!N55</f>
        <v>120822.5199999999</v>
      </c>
      <c r="O5" s="18">
        <f>+'SEP 17'!O55</f>
        <v>485514.42259319959</v>
      </c>
      <c r="P5" s="18">
        <f>+'SEP 17'!P55</f>
        <v>1918596.5434668667</v>
      </c>
      <c r="Q5" s="18">
        <f>+'SEP 17'!Q55</f>
        <v>7513998.3532945905</v>
      </c>
      <c r="R5" s="18">
        <f>+'SEP 17'!R55</f>
        <v>3242510.1545100003</v>
      </c>
      <c r="S5" s="18">
        <f>+'SEP 17'!S55</f>
        <v>13338066.268069925</v>
      </c>
      <c r="T5" s="18">
        <f>+'SEP 17'!T55</f>
        <v>56575.250000000007</v>
      </c>
      <c r="U5" s="18">
        <f>+'SEP 17'!U55</f>
        <v>227353.77856949999</v>
      </c>
      <c r="V5" s="18">
        <f>+'SEP 17'!V55</f>
        <v>43726370.969999991</v>
      </c>
      <c r="W5" s="18">
        <f>+'SEP 17'!W55</f>
        <v>174577343.46916798</v>
      </c>
      <c r="X5" s="18">
        <f>+'SEP 17'!X55</f>
        <v>2405509.0999999996</v>
      </c>
      <c r="Y5" s="18">
        <f>+'SEP 17'!Y55</f>
        <v>9664866.7635749988</v>
      </c>
      <c r="Z5" s="18">
        <f>+'SEP 17'!Z55</f>
        <v>9662.5274983807467</v>
      </c>
      <c r="AA5" s="18">
        <f>+'SEP 17'!AA55</f>
        <v>38827.997124768175</v>
      </c>
      <c r="AB5" s="18">
        <f>+'SEP 17'!AB55</f>
        <v>7542.7499999967404</v>
      </c>
      <c r="AC5" s="18">
        <f>+'SEP 17'!AC55</f>
        <v>30309.862027486903</v>
      </c>
      <c r="AD5" s="18">
        <f>+'SEP 17'!AD55</f>
        <v>5155</v>
      </c>
      <c r="AE5" s="18">
        <f>+'SEP 17'!AE55</f>
        <v>20714.903549999999</v>
      </c>
      <c r="AF5" s="18">
        <f>+'SEP 17'!AF55</f>
        <v>7956.8699999451637</v>
      </c>
      <c r="AG5" s="18">
        <f>+'SEP 17'!AG55</f>
        <v>31973.965976479645</v>
      </c>
      <c r="AH5" s="18">
        <f>+'SEP 17'!AH55</f>
        <v>146351.33999999726</v>
      </c>
      <c r="AI5" s="18">
        <f>+'SEP 17'!AI55</f>
        <v>604520.75419258873</v>
      </c>
      <c r="AJ5" s="18">
        <f>+'SEP 17'!AJ55</f>
        <v>675895.70999999822</v>
      </c>
      <c r="AK5" s="18">
        <f>+'SEP 17'!AK55</f>
        <v>2716026.0800210927</v>
      </c>
      <c r="AL5" s="18">
        <f>+'SEP 17'!AL55</f>
        <v>25903711.799725242</v>
      </c>
      <c r="AM5" s="18">
        <f>+'SEP 17'!AM55</f>
        <v>98520036.865005344</v>
      </c>
      <c r="AN5" s="18">
        <f>+'SEP 17'!AN55</f>
        <v>4821383.3581500007</v>
      </c>
      <c r="AO5" s="18">
        <f>+'SEP 17'!AO55</f>
        <v>968222.52890143998</v>
      </c>
      <c r="AP5" s="18">
        <f>+'SEP 17'!AP55</f>
        <v>7128355.7711001448</v>
      </c>
      <c r="AQ5" s="18">
        <f>+'SEP 17'!AQ55</f>
        <v>3640041.0374521632</v>
      </c>
      <c r="AR5" s="18">
        <f>+'SEP 17'!AR55</f>
        <v>33467.106463993005</v>
      </c>
      <c r="AS5" s="18">
        <f>+'SEP 17'!AS55</f>
        <v>6.3419079996137473</v>
      </c>
      <c r="AT5" s="18">
        <f>+'SEP 17'!AT55</f>
        <v>11.326432002509915</v>
      </c>
      <c r="AU5" s="18">
        <f>+'SEP 17'!AU55</f>
        <v>70852.565203997277</v>
      </c>
      <c r="AV5" s="18">
        <f>+'SEP 17'!AV55</f>
        <v>529097.77060280275</v>
      </c>
      <c r="AW5" s="18">
        <f>+'SEP 17'!AW55</f>
        <v>87470.533549996806</v>
      </c>
      <c r="AX5" s="18">
        <f>+'SEP 17'!AX55</f>
        <v>1064.5961240010877</v>
      </c>
      <c r="AY5" s="18">
        <f>+'SEP 17'!AY55</f>
        <v>4373123.2868879996</v>
      </c>
      <c r="AZ5" s="18">
        <f>+'SEP 17'!AZ55</f>
        <v>23756.924137323233</v>
      </c>
      <c r="BA5" s="18">
        <f>+'SEP 17'!BA55</f>
        <v>206440.84972400687</v>
      </c>
      <c r="BB5" s="18">
        <f>+'SEP 17'!BB55</f>
        <v>71489.284219991168</v>
      </c>
      <c r="BC5" s="18">
        <f>+'SEP 17'!BC55</f>
        <v>272708.11784799851</v>
      </c>
      <c r="BD5" s="18">
        <f>+'SEP 17'!BD55</f>
        <v>17424.205599989848</v>
      </c>
      <c r="BE5" s="18">
        <f>+'SEP 17'!BE55</f>
        <v>256626.99715368054</v>
      </c>
      <c r="BF5" s="18">
        <f>+'SEP 17'!BF55</f>
        <v>294827.49323035986</v>
      </c>
      <c r="BG5" s="18">
        <f>+'SEP 17'!BG55</f>
        <v>35110.408018882757</v>
      </c>
      <c r="BH5" s="18">
        <f>+'SEP 17'!BH55</f>
        <v>24605.160800002101</v>
      </c>
      <c r="BI5" s="18">
        <f>+'SEP 17'!BI55</f>
        <v>207727.90101</v>
      </c>
      <c r="BJ5" s="18">
        <f>+'SEP 17'!BJ55</f>
        <v>154010.6032805602</v>
      </c>
      <c r="BK5" s="18">
        <f>+'SEP 17'!BK55</f>
        <v>4885909.5036820117</v>
      </c>
      <c r="BL5" s="18">
        <f>+'SEP 17'!BL55</f>
        <v>115329.52142244607</v>
      </c>
      <c r="BM5" s="18">
        <f>+'SEP 17'!BM55</f>
        <v>1093366.7048871636</v>
      </c>
      <c r="BN5" s="18">
        <f>+'SEP 17'!BN55</f>
        <v>1245737.5144173822</v>
      </c>
      <c r="BO5" s="18">
        <f>+'SEP 17'!BO55</f>
        <v>3.4691202304202307E-3</v>
      </c>
      <c r="BP5" s="18">
        <f>+'SEP 17'!BP55</f>
        <v>261.51765932906545</v>
      </c>
      <c r="BQ5" s="18">
        <f>+'SEP 17'!BQ55</f>
        <v>4.0128798844989433E-3</v>
      </c>
      <c r="BR5" s="18">
        <f>+'SEP 17'!BR55</f>
        <v>1508167.7960000036</v>
      </c>
      <c r="BS5" s="18">
        <f>+'SEP 17'!BS55</f>
        <v>5925980.582785489</v>
      </c>
      <c r="BT5" s="18">
        <f>+'SEP 17'!BT55</f>
        <v>70580.134932017885</v>
      </c>
      <c r="BU5" s="18">
        <f>+'SEP 17'!BU55</f>
        <v>286381.4384778887</v>
      </c>
      <c r="BV5" s="18">
        <f>+'SEP 17'!BV55</f>
        <v>9298.8778600000005</v>
      </c>
      <c r="BW5" s="18">
        <f>+'SEP 17'!BW55</f>
        <v>199874.05100000001</v>
      </c>
      <c r="BX5" s="18">
        <f>+'SEP 17'!BX55</f>
        <v>22663.665000000001</v>
      </c>
      <c r="BY5" s="18">
        <f>+'SEP 17'!BY55</f>
        <v>749377.89394000056</v>
      </c>
      <c r="BZ5" s="18">
        <f>+'SEP 17'!BZ55</f>
        <v>194642.65513999108</v>
      </c>
      <c r="CA5" s="18">
        <f>+'SEP 17'!CA55</f>
        <v>4745251.613559993</v>
      </c>
      <c r="CB5" s="18">
        <f>+'SEP 17'!CB55</f>
        <v>19818.565999999999</v>
      </c>
      <c r="CC5" s="18">
        <f>+'SEP 17'!CC55</f>
        <v>1109815.122</v>
      </c>
      <c r="CD5" s="18">
        <f>+'SEP 17'!CD55</f>
        <v>0</v>
      </c>
      <c r="CE5" s="18">
        <f>+'SEP 17'!CE55</f>
        <v>28392.831999999995</v>
      </c>
      <c r="CF5" s="18">
        <f>+'SEP 17'!CF55</f>
        <v>1358895.952</v>
      </c>
      <c r="CG5" s="18">
        <f>+'SEP 17'!CG55</f>
        <v>443799.8885</v>
      </c>
      <c r="CH5" s="18">
        <f>+'SEP 17'!CH55</f>
        <v>2.9318200000000001</v>
      </c>
      <c r="CI5" s="18">
        <f>+'SEP 17'!CI55</f>
        <v>1086670.2314399993</v>
      </c>
      <c r="CJ5" s="18">
        <f>+'SEP 17'!CJ55</f>
        <v>838322.9380399998</v>
      </c>
      <c r="CK5" s="18">
        <f>+'SEP 17'!CK55</f>
        <v>0</v>
      </c>
      <c r="CL5" s="18">
        <f>+'SEP 17'!CL55</f>
        <v>0</v>
      </c>
      <c r="CM5" s="18">
        <f>+'SEP 17'!CM55</f>
        <v>79545.207070000004</v>
      </c>
      <c r="CN5" s="18">
        <f>+'SEP 17'!CN55</f>
        <v>647657.33605000004</v>
      </c>
      <c r="CO5" s="18">
        <f>+'SEP 17'!CO55</f>
        <v>736464.8368199995</v>
      </c>
      <c r="CP5" s="18">
        <f>+'SEP 17'!CP55</f>
        <v>9152723.6727600005</v>
      </c>
      <c r="CQ5" s="18">
        <f>+'SEP 17'!CQ55</f>
        <v>377715.39094000001</v>
      </c>
      <c r="CR5" s="18">
        <f>+'SEP 17'!CR55</f>
        <v>888148.40451000037</v>
      </c>
      <c r="CS5" s="18">
        <f>+'SEP 17'!CS55</f>
        <v>5013.4199999999992</v>
      </c>
      <c r="CT5" s="18">
        <f>+'SEP 17'!CT55</f>
        <v>20149.387893799994</v>
      </c>
      <c r="CU5" s="18">
        <f>+'SEP 17'!CU55</f>
        <v>5013.4199999999992</v>
      </c>
      <c r="CV5" s="18">
        <f>+'SEP 17'!CV55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420976420.58319634</v>
      </c>
    </row>
    <row r="6" spans="1:101" s="20" customFormat="1" x14ac:dyDescent="0.3">
      <c r="A6" s="173"/>
      <c r="B6" s="19"/>
      <c r="C6" s="19" t="s">
        <v>91</v>
      </c>
      <c r="D6" s="19">
        <v>-3091.1443300000005</v>
      </c>
      <c r="E6" s="19">
        <v>15635892.787300002</v>
      </c>
      <c r="F6" s="19">
        <v>3831890.6229000026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-42624.795000000013</v>
      </c>
      <c r="BX6" s="19">
        <v>0</v>
      </c>
      <c r="BY6" s="19">
        <v>10910.283999999985</v>
      </c>
      <c r="BZ6" s="19">
        <v>-299350.51800000068</v>
      </c>
      <c r="CA6" s="19">
        <v>-989977.20299999963</v>
      </c>
      <c r="CB6" s="19">
        <v>300</v>
      </c>
      <c r="CC6" s="19">
        <v>3953.0679999999702</v>
      </c>
      <c r="CD6" s="19">
        <v>0</v>
      </c>
      <c r="CE6" s="19">
        <v>-15789.069000000001</v>
      </c>
      <c r="CF6" s="19">
        <v>-821944.22640000004</v>
      </c>
      <c r="CG6" s="19">
        <v>-33725.722999999998</v>
      </c>
      <c r="CH6" s="19">
        <v>0</v>
      </c>
      <c r="CI6" s="19">
        <v>1062.5509999999776</v>
      </c>
      <c r="CJ6" s="19">
        <v>9899.0549999999348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446031.39979994512</v>
      </c>
      <c r="E8" s="18">
        <f t="shared" si="0"/>
        <v>24167033.833085336</v>
      </c>
      <c r="F8" s="18">
        <f t="shared" si="0"/>
        <v>21914202.313634373</v>
      </c>
      <c r="G8" s="18">
        <f t="shared" si="0"/>
        <v>0</v>
      </c>
      <c r="H8" s="18">
        <f t="shared" si="0"/>
        <v>0</v>
      </c>
      <c r="I8" s="18">
        <f t="shared" si="0"/>
        <v>75148.847904578346</v>
      </c>
      <c r="J8" s="18">
        <f t="shared" si="0"/>
        <v>0</v>
      </c>
      <c r="K8" s="18">
        <f t="shared" si="0"/>
        <v>163081.68768414296</v>
      </c>
      <c r="L8" s="18">
        <f t="shared" si="0"/>
        <v>282632.17835482309</v>
      </c>
      <c r="M8" s="18">
        <f t="shared" si="0"/>
        <v>219545.50485948421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1918596.5434668667</v>
      </c>
      <c r="Q8" s="18">
        <f t="shared" si="0"/>
        <v>7513998.3532945905</v>
      </c>
      <c r="R8" s="18">
        <f t="shared" si="0"/>
        <v>3242510.1545100003</v>
      </c>
      <c r="S8" s="18">
        <f t="shared" si="0"/>
        <v>13338066.268069925</v>
      </c>
      <c r="T8" s="18">
        <f t="shared" si="0"/>
        <v>56575.250000000007</v>
      </c>
      <c r="U8" s="18">
        <f t="shared" si="0"/>
        <v>227353.77856949999</v>
      </c>
      <c r="V8" s="18">
        <f t="shared" si="0"/>
        <v>43726370.969999991</v>
      </c>
      <c r="W8" s="18">
        <f t="shared" si="0"/>
        <v>174577343.46916798</v>
      </c>
      <c r="X8" s="18">
        <f t="shared" si="0"/>
        <v>2405509.0999999996</v>
      </c>
      <c r="Y8" s="18">
        <f t="shared" si="0"/>
        <v>9664866.7635749988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146351.33999999726</v>
      </c>
      <c r="AI8" s="18">
        <f t="shared" si="0"/>
        <v>604520.75419258873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25903711.799725242</v>
      </c>
      <c r="AM8" s="18">
        <f t="shared" si="0"/>
        <v>98520036.865005344</v>
      </c>
      <c r="AN8" s="18">
        <f t="shared" si="0"/>
        <v>4821383.3581500007</v>
      </c>
      <c r="AO8" s="18">
        <f t="shared" si="0"/>
        <v>968222.52890143998</v>
      </c>
      <c r="AP8" s="18">
        <f t="shared" si="0"/>
        <v>7128355.7711001448</v>
      </c>
      <c r="AQ8" s="18">
        <f t="shared" si="0"/>
        <v>3640041.0374521632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4373123.2868879996</v>
      </c>
      <c r="AZ8" s="18">
        <f t="shared" si="0"/>
        <v>23756.924137323233</v>
      </c>
      <c r="BA8" s="18">
        <f t="shared" si="0"/>
        <v>206440.84972400687</v>
      </c>
      <c r="BB8" s="18">
        <f t="shared" si="0"/>
        <v>71489.284219991168</v>
      </c>
      <c r="BC8" s="18">
        <f t="shared" si="0"/>
        <v>272708.11784799851</v>
      </c>
      <c r="BD8" s="18">
        <f t="shared" si="0"/>
        <v>17424.205599989848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4885909.5036820117</v>
      </c>
      <c r="BL8" s="18">
        <f t="shared" si="0"/>
        <v>115329.52142244607</v>
      </c>
      <c r="BM8" s="18">
        <f t="shared" si="0"/>
        <v>1093366.7048871636</v>
      </c>
      <c r="BN8" s="18">
        <f t="shared" si="0"/>
        <v>1245737.5144173822</v>
      </c>
      <c r="BO8" s="18">
        <f t="shared" si="0"/>
        <v>3.4691202304202307E-3</v>
      </c>
      <c r="BP8" s="18">
        <f t="shared" si="0"/>
        <v>261.51765932906545</v>
      </c>
      <c r="BQ8" s="18">
        <f t="shared" si="0"/>
        <v>4.0128798844989433E-3</v>
      </c>
      <c r="BR8" s="18">
        <f t="shared" si="0"/>
        <v>1508167.7960000036</v>
      </c>
      <c r="BS8" s="18">
        <f t="shared" si="0"/>
        <v>5925980.582785489</v>
      </c>
      <c r="BT8" s="18">
        <f t="shared" ref="BT8:CV8" si="1">BT5+BT6+BT7</f>
        <v>70580.134932017885</v>
      </c>
      <c r="BU8" s="18">
        <f t="shared" si="1"/>
        <v>286381.4384778887</v>
      </c>
      <c r="BV8" s="18">
        <f t="shared" si="1"/>
        <v>9298.8778600000005</v>
      </c>
      <c r="BW8" s="18">
        <f t="shared" si="1"/>
        <v>157249.25599999999</v>
      </c>
      <c r="BX8" s="18">
        <f t="shared" si="1"/>
        <v>22663.665000000001</v>
      </c>
      <c r="BY8" s="18">
        <f>+BY5+BY6+BY7:BZ7</f>
        <v>760288.17794000055</v>
      </c>
      <c r="BZ8" s="18">
        <f t="shared" si="1"/>
        <v>-104707.8628600096</v>
      </c>
      <c r="CA8" s="18">
        <f t="shared" si="1"/>
        <v>3755274.4105599932</v>
      </c>
      <c r="CB8" s="18">
        <f t="shared" si="1"/>
        <v>20118.565999999999</v>
      </c>
      <c r="CC8" s="18">
        <f t="shared" si="1"/>
        <v>1113768.19</v>
      </c>
      <c r="CD8" s="18">
        <f t="shared" si="1"/>
        <v>0</v>
      </c>
      <c r="CE8" s="18">
        <f t="shared" si="1"/>
        <v>12603.762999999994</v>
      </c>
      <c r="CF8" s="18">
        <f t="shared" si="1"/>
        <v>536951.72560000001</v>
      </c>
      <c r="CG8" s="18">
        <f t="shared" si="1"/>
        <v>410074.1655</v>
      </c>
      <c r="CH8" s="18">
        <f t="shared" si="1"/>
        <v>2.9318200000000001</v>
      </c>
      <c r="CI8" s="18">
        <f t="shared" si="1"/>
        <v>1087732.7824399993</v>
      </c>
      <c r="CJ8" s="18">
        <f t="shared" si="1"/>
        <v>848221.99303999974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888148.40451000037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438263826.27266639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19131+147375+786826.5+55143.17648</f>
        <v>1008475.67648</v>
      </c>
      <c r="M11" s="26">
        <f>117900+55143.17648</f>
        <v>173043.17647999999</v>
      </c>
      <c r="N11" s="26"/>
      <c r="O11" s="26"/>
      <c r="P11" s="28">
        <v>381875</v>
      </c>
      <c r="Q11" s="26">
        <f>+(P11*3880.01)/1000</f>
        <v>1481678.8187500001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2663197.6717100004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>
        <v>188084.1</v>
      </c>
      <c r="M12" s="26">
        <v>188084.1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376168.2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/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0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-53819228.744000003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-53819228.744000003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49954379.423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49954379.423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0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3000</v>
      </c>
      <c r="E27" s="29"/>
      <c r="F27" s="29"/>
      <c r="G27" s="26"/>
      <c r="H27" s="26"/>
      <c r="I27" s="26"/>
      <c r="J27" s="26"/>
      <c r="K27" s="26"/>
      <c r="L27" s="27">
        <v>2850000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2000000</v>
      </c>
      <c r="CA27" s="26">
        <v>700000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5553000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-5910000</v>
      </c>
      <c r="F28" s="26">
        <v>-16205000</v>
      </c>
      <c r="G28" s="26"/>
      <c r="H28" s="26"/>
      <c r="I28" s="26"/>
      <c r="J28" s="26"/>
      <c r="K28" s="26"/>
      <c r="L28" s="27"/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>
        <v>-43000</v>
      </c>
      <c r="BX28" s="26"/>
      <c r="BY28" s="26"/>
      <c r="BZ28" s="26"/>
      <c r="CA28" s="26"/>
      <c r="CB28" s="26"/>
      <c r="CC28" s="26"/>
      <c r="CD28" s="26"/>
      <c r="CE28" s="26">
        <v>-18000</v>
      </c>
      <c r="CF28" s="26">
        <v>-843000</v>
      </c>
      <c r="CG28" s="26">
        <v>-34000</v>
      </c>
      <c r="CH28" s="26"/>
      <c r="CI28" s="26">
        <v>-287000</v>
      </c>
      <c r="CJ28" s="29">
        <v>-848000</v>
      </c>
      <c r="CK28" s="26"/>
      <c r="CL28" s="26"/>
      <c r="CM28" s="26"/>
      <c r="CN28" s="26"/>
      <c r="CO28" s="26"/>
      <c r="CP28" s="26"/>
      <c r="CQ28" s="26"/>
      <c r="CR28" s="26">
        <v>-874000</v>
      </c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-25062000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>
        <f>79285.5+361526.26+497910.57+327999.29+294352.92+144175.62+144164.97+140205+113235.05+115713.13+96837.2+242124.89+118305.69+279576.58</f>
        <v>2955412.6700000004</v>
      </c>
      <c r="Q35" s="38">
        <f>+(P35*3880.01)/1000</f>
        <v>11467030.713726701</v>
      </c>
      <c r="R35" s="38"/>
      <c r="S35" s="38"/>
      <c r="T35" s="38"/>
      <c r="U35" s="38"/>
      <c r="V35" s="38">
        <f>510000+1170000+430000+490000</f>
        <v>2600000</v>
      </c>
      <c r="W35" s="38">
        <f>+(V35*3880.01)/1000</f>
        <v>10088026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21555056.713726699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/>
      <c r="M38" s="39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0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-0.97299999999999998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-2.5489999999999999</v>
      </c>
      <c r="BB50" s="49">
        <v>-0.88300000000000001</v>
      </c>
      <c r="BC50" s="49">
        <v>-3.367</v>
      </c>
      <c r="BD50" s="49">
        <v>-0.215</v>
      </c>
      <c r="BE50" s="49"/>
      <c r="BF50" s="49"/>
      <c r="BG50" s="49"/>
      <c r="BH50" s="49"/>
      <c r="BI50" s="49"/>
      <c r="BJ50" s="49"/>
      <c r="BK50" s="49"/>
      <c r="BL50" s="49">
        <v>-1.4930000000000001</v>
      </c>
      <c r="BM50" s="49">
        <v>-14.157</v>
      </c>
      <c r="BN50" s="49">
        <v>-16.13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-39.766999999999996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-810.29600000000005</v>
      </c>
      <c r="F51" s="49">
        <v>-64.778000000000006</v>
      </c>
      <c r="G51" s="49"/>
      <c r="H51" s="49"/>
      <c r="I51" s="49"/>
      <c r="J51" s="49"/>
      <c r="K51" s="48"/>
      <c r="L51" s="48">
        <v>-28.905000000000001</v>
      </c>
      <c r="M51" s="48">
        <v>-16.516999999999999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-920.49600000000009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13.90253</v>
      </c>
      <c r="J52" s="49"/>
      <c r="K52" s="49"/>
      <c r="L52" s="48"/>
      <c r="M52" s="48"/>
      <c r="N52" s="49"/>
      <c r="O52" s="49"/>
      <c r="P52" s="49"/>
      <c r="Q52" s="49"/>
      <c r="R52" s="49">
        <v>246.74</v>
      </c>
      <c r="S52" s="49">
        <f>+(R52*3880.01)/1000</f>
        <v>957.35366740000006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36.417000000000002</v>
      </c>
      <c r="BB52" s="49">
        <v>12.611000000000001</v>
      </c>
      <c r="BC52" s="49">
        <v>48.106999999999999</v>
      </c>
      <c r="BD52" s="49">
        <v>3.0739999999999998</v>
      </c>
      <c r="BE52" s="49"/>
      <c r="BF52" s="49"/>
      <c r="BG52" s="49"/>
      <c r="BH52" s="49"/>
      <c r="BI52" s="49"/>
      <c r="BJ52" s="49"/>
      <c r="BK52" s="49"/>
      <c r="BL52" s="49">
        <v>21.3323</v>
      </c>
      <c r="BM52" s="49">
        <v>202.23813999999999</v>
      </c>
      <c r="BN52" s="49">
        <v>230.42191</v>
      </c>
      <c r="BO52" s="49"/>
      <c r="BP52" s="49">
        <f>48.37/1000</f>
        <v>4.8369999999999996E-2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>D52+E52+F52+G52+H52+I52+J52+K52+L52+M52+O52+Q52+S52+U52+W52+Y52+AA52+AC52+AE52+AG52+AI52+AK52+AL52+AM52+AQ52+AR52+AS52+AT52+AU52+AV52+AW52+AX52+AY52+AZ52+BA52+BB52+BC52+BD52+BE52+BF52+BG52+BH52+BI52+BJ52+BK52+BS52+BU52+BV52+BW52+BX52+BY52+BZ52+CA52+CB52+CC52+CD52+CE52+CF52+CG52+CH52+CI52+CJ52+BL52+BM52+BN52+BO52+BP52+BQ52+CK52+CL52+CM52+CN52+CO52+CP52+CQ52+AN52+AO52+AP52+CR52+CT52+CV52</f>
        <v>1525.5059174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-3.2411840000000001</v>
      </c>
      <c r="F53" s="49">
        <f>(F10+F13+F16+F17+F33+F38+F47+F35+F40)*4/1000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-0.11562</v>
      </c>
      <c r="M53" s="48">
        <f>(M10+M13+M17+M33+M38+M40+M51+M36+M49+M16)*4/1000</f>
        <v>-6.6068000000000002E-2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-3.4228719999999999</v>
      </c>
    </row>
    <row r="54" spans="1:101" x14ac:dyDescent="0.3">
      <c r="C54" s="50" t="s">
        <v>141</v>
      </c>
      <c r="D54" s="51">
        <f t="shared" ref="D54:AM54" si="6">SUM(D9:D53)</f>
        <v>3000</v>
      </c>
      <c r="E54" s="51">
        <f t="shared" si="6"/>
        <v>-5910813.537184</v>
      </c>
      <c r="F54" s="51">
        <f>SUM(F9:F53)</f>
        <v>-16205064.778000001</v>
      </c>
      <c r="G54" s="51">
        <f t="shared" si="6"/>
        <v>0</v>
      </c>
      <c r="H54" s="51">
        <f t="shared" si="6"/>
        <v>0</v>
      </c>
      <c r="I54" s="51">
        <f t="shared" si="6"/>
        <v>12.92953</v>
      </c>
      <c r="J54" s="51">
        <f t="shared" si="6"/>
        <v>0</v>
      </c>
      <c r="K54" s="51">
        <f t="shared" si="6"/>
        <v>0</v>
      </c>
      <c r="L54" s="52">
        <f>SUM(L9:L53)</f>
        <v>181681.43485999442</v>
      </c>
      <c r="M54" s="51">
        <f t="shared" si="6"/>
        <v>361110.69341200002</v>
      </c>
      <c r="N54" s="51">
        <f t="shared" si="6"/>
        <v>0</v>
      </c>
      <c r="O54" s="51">
        <f t="shared" si="6"/>
        <v>0</v>
      </c>
      <c r="P54" s="51">
        <f t="shared" si="6"/>
        <v>3337287.6700000004</v>
      </c>
      <c r="Q54" s="51">
        <f t="shared" si="6"/>
        <v>12948709.532476701</v>
      </c>
      <c r="R54" s="51">
        <f t="shared" si="6"/>
        <v>246.74</v>
      </c>
      <c r="S54" s="51">
        <f t="shared" si="6"/>
        <v>957.35366740000006</v>
      </c>
      <c r="T54" s="51">
        <f t="shared" si="6"/>
        <v>0</v>
      </c>
      <c r="U54" s="51">
        <f t="shared" si="6"/>
        <v>0</v>
      </c>
      <c r="V54" s="51">
        <f t="shared" si="6"/>
        <v>2600000</v>
      </c>
      <c r="W54" s="51">
        <f t="shared" si="6"/>
        <v>10088026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33.868000000000002</v>
      </c>
      <c r="BB54" s="51">
        <f t="shared" si="7"/>
        <v>11.728000000000002</v>
      </c>
      <c r="BC54" s="51">
        <f t="shared" si="7"/>
        <v>44.74</v>
      </c>
      <c r="BD54" s="51">
        <f t="shared" si="7"/>
        <v>2.859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19.839300000000001</v>
      </c>
      <c r="BM54" s="51">
        <f t="shared" si="7"/>
        <v>188.08113999999998</v>
      </c>
      <c r="BN54" s="51">
        <f t="shared" si="7"/>
        <v>214.29191</v>
      </c>
      <c r="BO54" s="51">
        <f t="shared" si="7"/>
        <v>0</v>
      </c>
      <c r="BP54" s="51">
        <f t="shared" si="7"/>
        <v>4.8369999999999996E-2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-43000</v>
      </c>
      <c r="BX54" s="51">
        <f t="shared" si="7"/>
        <v>0</v>
      </c>
      <c r="BY54" s="51">
        <f>SUM(BY9:BY53)</f>
        <v>0</v>
      </c>
      <c r="BZ54" s="51">
        <f>SUM(BZ9:BZ53)</f>
        <v>2000000</v>
      </c>
      <c r="CA54" s="51">
        <f t="shared" si="7"/>
        <v>700000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-18000</v>
      </c>
      <c r="CF54" s="51">
        <f t="shared" si="7"/>
        <v>-843000</v>
      </c>
      <c r="CG54" s="51">
        <f t="shared" si="7"/>
        <v>-34000</v>
      </c>
      <c r="CH54" s="51">
        <f t="shared" si="7"/>
        <v>0</v>
      </c>
      <c r="CI54" s="51">
        <f t="shared" si="7"/>
        <v>-287000</v>
      </c>
      <c r="CJ54" s="51">
        <f t="shared" si="7"/>
        <v>-848000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-874000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1221135.0844820922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449031.39979994512</v>
      </c>
      <c r="E55" s="56">
        <f t="shared" si="8"/>
        <v>18256220.295901336</v>
      </c>
      <c r="F55" s="56">
        <f>+F8+F54</f>
        <v>5709137.5356343724</v>
      </c>
      <c r="G55" s="56">
        <f t="shared" si="8"/>
        <v>0</v>
      </c>
      <c r="H55" s="56">
        <f t="shared" si="8"/>
        <v>0</v>
      </c>
      <c r="I55" s="56">
        <f t="shared" si="8"/>
        <v>75161.77743457834</v>
      </c>
      <c r="J55" s="56">
        <f t="shared" si="8"/>
        <v>0</v>
      </c>
      <c r="K55" s="56">
        <f t="shared" si="8"/>
        <v>163081.68768414296</v>
      </c>
      <c r="L55" s="56">
        <f t="shared" si="8"/>
        <v>464313.61321481748</v>
      </c>
      <c r="M55" s="56">
        <f t="shared" si="8"/>
        <v>580656.19827148423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5255884.2134668669</v>
      </c>
      <c r="Q55" s="56">
        <f t="shared" si="8"/>
        <v>20462707.885771289</v>
      </c>
      <c r="R55" s="56">
        <f t="shared" si="8"/>
        <v>3242756.8945100005</v>
      </c>
      <c r="S55" s="56">
        <f t="shared" si="8"/>
        <v>13339023.621737326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46326370.969999991</v>
      </c>
      <c r="W55" s="56">
        <f t="shared" si="8"/>
        <v>184665369.46916798</v>
      </c>
      <c r="X55" s="56">
        <f t="shared" si="8"/>
        <v>2405509.0999999996</v>
      </c>
      <c r="Y55" s="56">
        <f t="shared" si="8"/>
        <v>9664866.7635749988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146351.33999999726</v>
      </c>
      <c r="AI55" s="56">
        <f t="shared" si="8"/>
        <v>604520.75419258873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25903711.799725242</v>
      </c>
      <c r="AM55" s="56">
        <f t="shared" si="8"/>
        <v>98520036.865005344</v>
      </c>
      <c r="AN55" s="56">
        <f t="shared" si="8"/>
        <v>4821383.3581500007</v>
      </c>
      <c r="AO55" s="56">
        <f t="shared" si="8"/>
        <v>968222.52890143998</v>
      </c>
      <c r="AP55" s="56">
        <f t="shared" si="8"/>
        <v>7128355.7711001448</v>
      </c>
      <c r="AQ55" s="56">
        <f t="shared" si="8"/>
        <v>3640041.0374521632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4373123.2868879996</v>
      </c>
      <c r="AZ55" s="56">
        <f t="shared" si="8"/>
        <v>23756.924137323233</v>
      </c>
      <c r="BA55" s="56">
        <f t="shared" si="8"/>
        <v>206474.71772400686</v>
      </c>
      <c r="BB55" s="56">
        <f t="shared" si="8"/>
        <v>71501.012219991171</v>
      </c>
      <c r="BC55" s="56">
        <f t="shared" si="8"/>
        <v>272752.8578479985</v>
      </c>
      <c r="BD55" s="56">
        <f t="shared" si="8"/>
        <v>17427.064599989848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4885909.5036820117</v>
      </c>
      <c r="BL55" s="56">
        <f t="shared" si="8"/>
        <v>115349.36072244607</v>
      </c>
      <c r="BM55" s="56">
        <f t="shared" si="8"/>
        <v>1093554.7860271635</v>
      </c>
      <c r="BN55" s="56">
        <f t="shared" si="8"/>
        <v>1245951.8063273821</v>
      </c>
      <c r="BO55" s="56">
        <f t="shared" si="8"/>
        <v>3.4691202304202307E-3</v>
      </c>
      <c r="BP55" s="56">
        <f t="shared" si="8"/>
        <v>261.56602932906543</v>
      </c>
      <c r="BQ55" s="56">
        <f t="shared" si="8"/>
        <v>4.0128798844989433E-3</v>
      </c>
      <c r="BR55" s="56">
        <f t="shared" si="8"/>
        <v>1508167.7960000036</v>
      </c>
      <c r="BS55" s="56">
        <f t="shared" si="8"/>
        <v>5925980.582785489</v>
      </c>
      <c r="BT55" s="56">
        <f t="shared" ref="BT55:CV55" si="9">+BT8+BT54</f>
        <v>70580.134932017885</v>
      </c>
      <c r="BU55" s="56">
        <f t="shared" si="9"/>
        <v>286381.4384778887</v>
      </c>
      <c r="BV55" s="56">
        <f t="shared" si="9"/>
        <v>9298.8778600000005</v>
      </c>
      <c r="BW55" s="56">
        <f t="shared" si="9"/>
        <v>114249.25599999999</v>
      </c>
      <c r="BX55" s="56">
        <f t="shared" si="9"/>
        <v>22663.665000000001</v>
      </c>
      <c r="BY55" s="56">
        <f t="shared" si="9"/>
        <v>760288.17794000055</v>
      </c>
      <c r="BZ55" s="56">
        <f t="shared" si="9"/>
        <v>1895292.1371399905</v>
      </c>
      <c r="CA55" s="56">
        <f t="shared" si="9"/>
        <v>4455274.4105599932</v>
      </c>
      <c r="CB55" s="56">
        <f t="shared" si="9"/>
        <v>20118.565999999999</v>
      </c>
      <c r="CC55" s="56">
        <f t="shared" si="9"/>
        <v>1113768.19</v>
      </c>
      <c r="CD55" s="56">
        <f t="shared" si="9"/>
        <v>0</v>
      </c>
      <c r="CE55" s="56">
        <f t="shared" si="9"/>
        <v>-5396.2370000000064</v>
      </c>
      <c r="CF55" s="56">
        <f t="shared" si="9"/>
        <v>-306048.27439999999</v>
      </c>
      <c r="CG55" s="56">
        <f t="shared" si="9"/>
        <v>376074.1655</v>
      </c>
      <c r="CH55" s="56">
        <f t="shared" si="9"/>
        <v>2.9318200000000001</v>
      </c>
      <c r="CI55" s="56">
        <f t="shared" si="9"/>
        <v>800732.78243999928</v>
      </c>
      <c r="CJ55" s="56">
        <f t="shared" si="9"/>
        <v>221.99303999973927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14148.404510000371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439484961.35714859</v>
      </c>
    </row>
    <row r="56" spans="1:101" x14ac:dyDescent="0.3">
      <c r="D56" s="57" t="s">
        <v>143</v>
      </c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67"/>
      <c r="O57" s="67"/>
      <c r="P57" s="151"/>
      <c r="Q57" s="71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O58" s="67"/>
      <c r="P58" s="152"/>
      <c r="Q58" s="71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N59" s="71"/>
      <c r="O59" s="67"/>
      <c r="P59" s="152"/>
      <c r="Q59" s="71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58546745.294710003</v>
      </c>
      <c r="E60" s="71"/>
      <c r="F60" s="84" t="s">
        <v>49</v>
      </c>
      <c r="G60" s="84" t="s">
        <v>149</v>
      </c>
      <c r="H60" s="85"/>
      <c r="I60" s="86"/>
      <c r="J60" s="57"/>
      <c r="N60" s="71"/>
      <c r="O60" s="67"/>
      <c r="P60" s="152"/>
      <c r="Q60" s="71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49954379.423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O61" s="67"/>
      <c r="P61" s="152"/>
      <c r="Q61" s="71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2663197.6717100004</v>
      </c>
      <c r="E62" s="67">
        <f>-1481678.2+16024441.3+43528642.32288</f>
        <v>58071405.422880001</v>
      </c>
      <c r="F62" s="89" t="s">
        <v>153</v>
      </c>
      <c r="G62" s="91">
        <f>P55</f>
        <v>5255884.2134668669</v>
      </c>
      <c r="H62" s="92"/>
      <c r="I62" s="86"/>
      <c r="J62" s="66"/>
      <c r="N62" s="67"/>
      <c r="O62" s="67"/>
      <c r="P62" s="152"/>
      <c r="Q62" s="71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156"/>
      <c r="BY62" s="156"/>
      <c r="BZ62" s="67"/>
      <c r="CA62" s="156"/>
      <c r="CB62" s="71"/>
      <c r="CC62" s="71"/>
      <c r="CD62" s="71"/>
      <c r="CE62" s="71"/>
      <c r="CF62" s="71"/>
      <c r="CG62" s="71"/>
      <c r="CH62" s="71"/>
      <c r="CI62" s="71"/>
      <c r="CJ62" s="67"/>
    </row>
    <row r="63" spans="1:101" x14ac:dyDescent="0.3">
      <c r="B63" s="165"/>
      <c r="C63" s="87" t="s">
        <v>154</v>
      </c>
      <c r="D63" s="88">
        <f>CW27+CW25</f>
        <v>5553000</v>
      </c>
      <c r="E63" s="67" t="s">
        <v>205</v>
      </c>
      <c r="F63" s="89" t="s">
        <v>155</v>
      </c>
      <c r="G63" s="91">
        <f>R55</f>
        <v>3242756.8945100005</v>
      </c>
      <c r="H63" s="93"/>
      <c r="I63" s="94"/>
      <c r="J63" s="57"/>
      <c r="N63" s="153"/>
      <c r="O63" s="153"/>
      <c r="P63" s="151"/>
      <c r="Q63" s="71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376168.2</v>
      </c>
      <c r="E64" s="67" t="s">
        <v>205</v>
      </c>
      <c r="H64" s="57"/>
      <c r="I64" s="77"/>
      <c r="J64" s="66"/>
      <c r="N64" s="153"/>
      <c r="O64" s="153"/>
      <c r="P64" s="152"/>
      <c r="Q64" s="71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153"/>
      <c r="O65" s="153"/>
      <c r="P65" s="152"/>
      <c r="Q65" s="71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152"/>
      <c r="Q66" s="71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71"/>
      <c r="Q67" s="71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46326370.969999991</v>
      </c>
      <c r="H68" s="57"/>
      <c r="I68" s="98"/>
      <c r="J68" s="108"/>
      <c r="M68" s="101"/>
      <c r="N68" s="101"/>
      <c r="O68" s="69"/>
      <c r="P68" s="6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2405509.0999999996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-78881228.744000003</v>
      </c>
      <c r="E73" s="71"/>
      <c r="F73" s="114" t="s">
        <v>163</v>
      </c>
      <c r="G73" s="115">
        <f>L55*1000</f>
        <v>464313613.21481746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580656198.27148426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0</v>
      </c>
      <c r="E75" s="67"/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-53819228.744000003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-25062000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0</v>
      </c>
      <c r="E81" s="101"/>
      <c r="F81" s="128" t="s">
        <v>172</v>
      </c>
      <c r="G81" s="126">
        <f>AH55</f>
        <v>146351.33999999726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206440.84972400687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36.417000000000002</v>
      </c>
      <c r="L92" s="143">
        <f>BA50+BA51+BA53+BA40+BA42+BA43+BA45</f>
        <v>-2.5489999999999999</v>
      </c>
      <c r="M92" s="144">
        <f t="shared" si="10"/>
        <v>206474.71772400686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272708.11784799851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48.106999999999999</v>
      </c>
      <c r="L98" s="143">
        <f>BC50+BC51+BC53+BC40+BC42+BC43+BC45</f>
        <v>-3.367</v>
      </c>
      <c r="M98" s="144">
        <f t="shared" si="10"/>
        <v>272752.8578479985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71489.284219991168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12.611000000000001</v>
      </c>
      <c r="L99" s="143">
        <f>BB50+BB51+BB53+BB40+BB42+BB43+BB45</f>
        <v>-0.88300000000000001</v>
      </c>
      <c r="M99" s="144">
        <f t="shared" si="10"/>
        <v>71501.012219991171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17424.205599989848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3.0739999999999998</v>
      </c>
      <c r="L104" s="143">
        <f>BD50+BD51+BD53+BD40+BD42+BD43+BD45</f>
        <v>-0.215</v>
      </c>
      <c r="M104" s="144">
        <f t="shared" si="10"/>
        <v>17427.064599989848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4373123.2868879996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4373123.2868879996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608610.6476916793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36.417000000000002</v>
      </c>
      <c r="L108" s="98">
        <f t="shared" si="11"/>
        <v>-2.5489999999999999</v>
      </c>
      <c r="M108" s="98">
        <f t="shared" si="11"/>
        <v>608644.51569167932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847835.06077235274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60.718000000000004</v>
      </c>
      <c r="L109" s="98">
        <f t="shared" si="12"/>
        <v>-4.25</v>
      </c>
      <c r="M109" s="98">
        <f t="shared" si="12"/>
        <v>847891.52877235273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4650521.0689914301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3.0739999999999998</v>
      </c>
      <c r="L110" s="98">
        <f t="shared" si="13"/>
        <v>-0.215</v>
      </c>
      <c r="M110" s="98">
        <f t="shared" si="13"/>
        <v>4650523.9279914293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+'SEP 18'!D55</f>
        <v>449031.39979994512</v>
      </c>
      <c r="E5" s="18">
        <f>+'SEP 18'!E55</f>
        <v>18256220.295901336</v>
      </c>
      <c r="F5" s="18">
        <f>+'SEP 18'!F55</f>
        <v>5709137.5356343724</v>
      </c>
      <c r="G5" s="18">
        <f>+'SEP 18'!G55</f>
        <v>0</v>
      </c>
      <c r="H5" s="18">
        <f>+'SEP 18'!H55</f>
        <v>0</v>
      </c>
      <c r="I5" s="18">
        <f>+'SEP 18'!I55</f>
        <v>75161.77743457834</v>
      </c>
      <c r="J5" s="18">
        <f>+'SEP 18'!J55</f>
        <v>0</v>
      </c>
      <c r="K5" s="18">
        <f>+'SEP 18'!K55</f>
        <v>163081.68768414296</v>
      </c>
      <c r="L5" s="18">
        <f>+'SEP 18'!L55</f>
        <v>464313.61321481748</v>
      </c>
      <c r="M5" s="18">
        <f>+'SEP 18'!M55</f>
        <v>580656.19827148423</v>
      </c>
      <c r="N5" s="18">
        <f>+'SEP 18'!N55</f>
        <v>120822.5199999999</v>
      </c>
      <c r="O5" s="18">
        <f>+'SEP 18'!O55</f>
        <v>485514.42259319959</v>
      </c>
      <c r="P5" s="18">
        <f>+'SEP 18'!P55</f>
        <v>5255884.2134668669</v>
      </c>
      <c r="Q5" s="18">
        <f>+'SEP 18'!Q55</f>
        <v>20462707.885771289</v>
      </c>
      <c r="R5" s="18">
        <f>+'SEP 18'!R55</f>
        <v>3242756.8945100005</v>
      </c>
      <c r="S5" s="18">
        <f>+'SEP 18'!S55</f>
        <v>13339023.621737326</v>
      </c>
      <c r="T5" s="18">
        <f>+'SEP 18'!T55</f>
        <v>56575.250000000007</v>
      </c>
      <c r="U5" s="18">
        <f>+'SEP 18'!U55</f>
        <v>227353.77856949999</v>
      </c>
      <c r="V5" s="18">
        <f>+'SEP 18'!V55</f>
        <v>46326370.969999991</v>
      </c>
      <c r="W5" s="18">
        <f>+'SEP 18'!W55</f>
        <v>184665369.46916798</v>
      </c>
      <c r="X5" s="18">
        <f>+'SEP 18'!X55</f>
        <v>2405509.0999999996</v>
      </c>
      <c r="Y5" s="18">
        <f>+'SEP 18'!Y55</f>
        <v>9664866.7635749988</v>
      </c>
      <c r="Z5" s="18">
        <f>+'SEP 18'!Z55</f>
        <v>9662.5274983807467</v>
      </c>
      <c r="AA5" s="18">
        <f>+'SEP 18'!AA55</f>
        <v>38827.997124768175</v>
      </c>
      <c r="AB5" s="18">
        <f>+'SEP 18'!AB55</f>
        <v>7542.7499999967404</v>
      </c>
      <c r="AC5" s="18">
        <f>+'SEP 18'!AC55</f>
        <v>30309.862027486903</v>
      </c>
      <c r="AD5" s="18">
        <f>+'SEP 18'!AD55</f>
        <v>5155</v>
      </c>
      <c r="AE5" s="18">
        <f>+'SEP 18'!AE55</f>
        <v>20714.903549999999</v>
      </c>
      <c r="AF5" s="18">
        <f>+'SEP 18'!AF55</f>
        <v>7956.8699999451637</v>
      </c>
      <c r="AG5" s="18">
        <f>+'SEP 18'!AG55</f>
        <v>31973.965976479645</v>
      </c>
      <c r="AH5" s="18">
        <f>+'SEP 18'!AH55</f>
        <v>146351.33999999726</v>
      </c>
      <c r="AI5" s="18">
        <f>+'SEP 18'!AI55</f>
        <v>604520.75419258873</v>
      </c>
      <c r="AJ5" s="18">
        <f>+'SEP 18'!AJ55</f>
        <v>675895.70999999822</v>
      </c>
      <c r="AK5" s="18">
        <f>+'SEP 18'!AK55</f>
        <v>2716026.0800210927</v>
      </c>
      <c r="AL5" s="18">
        <f>+'SEP 18'!AL55</f>
        <v>25903711.799725242</v>
      </c>
      <c r="AM5" s="18">
        <f>+'SEP 18'!AM55</f>
        <v>98520036.865005344</v>
      </c>
      <c r="AN5" s="18">
        <f>+'SEP 18'!AN55</f>
        <v>4821383.3581500007</v>
      </c>
      <c r="AO5" s="18">
        <f>+'SEP 18'!AO55</f>
        <v>968222.52890143998</v>
      </c>
      <c r="AP5" s="18">
        <f>+'SEP 18'!AP55</f>
        <v>7128355.7711001448</v>
      </c>
      <c r="AQ5" s="18">
        <f>+'SEP 18'!AQ55</f>
        <v>3640041.0374521632</v>
      </c>
      <c r="AR5" s="18">
        <f>+'SEP 18'!AR55</f>
        <v>33467.106463993005</v>
      </c>
      <c r="AS5" s="18">
        <f>+'SEP 18'!AS55</f>
        <v>6.3419079996137473</v>
      </c>
      <c r="AT5" s="18">
        <f>+'SEP 18'!AT55</f>
        <v>11.326432002509915</v>
      </c>
      <c r="AU5" s="18">
        <f>+'SEP 18'!AU55</f>
        <v>70852.565203997277</v>
      </c>
      <c r="AV5" s="18">
        <f>+'SEP 18'!AV55</f>
        <v>529097.77060280275</v>
      </c>
      <c r="AW5" s="18">
        <f>+'SEP 18'!AW55</f>
        <v>87470.533549996806</v>
      </c>
      <c r="AX5" s="18">
        <f>+'SEP 18'!AX55</f>
        <v>1064.5961240010877</v>
      </c>
      <c r="AY5" s="18">
        <f>+'SEP 18'!AY55</f>
        <v>4373123.2868879996</v>
      </c>
      <c r="AZ5" s="18">
        <f>+'SEP 18'!AZ55</f>
        <v>23756.924137323233</v>
      </c>
      <c r="BA5" s="18">
        <f>+'SEP 18'!BA55</f>
        <v>206474.71772400686</v>
      </c>
      <c r="BB5" s="18">
        <f>+'SEP 18'!BB55</f>
        <v>71501.012219991171</v>
      </c>
      <c r="BC5" s="18">
        <f>+'SEP 18'!BC55</f>
        <v>272752.8578479985</v>
      </c>
      <c r="BD5" s="18">
        <f>+'SEP 18'!BD55</f>
        <v>17427.064599989848</v>
      </c>
      <c r="BE5" s="18">
        <f>+'SEP 18'!BE55</f>
        <v>256626.99715368054</v>
      </c>
      <c r="BF5" s="18">
        <f>+'SEP 18'!BF55</f>
        <v>294827.49323035986</v>
      </c>
      <c r="BG5" s="18">
        <f>+'SEP 18'!BG55</f>
        <v>35110.408018882757</v>
      </c>
      <c r="BH5" s="18">
        <f>+'SEP 18'!BH55</f>
        <v>24605.160800002101</v>
      </c>
      <c r="BI5" s="18">
        <f>+'SEP 18'!BI55</f>
        <v>207727.90101</v>
      </c>
      <c r="BJ5" s="18">
        <f>+'SEP 18'!BJ55</f>
        <v>154010.6032805602</v>
      </c>
      <c r="BK5" s="18">
        <f>+'SEP 18'!BK55</f>
        <v>4885909.5036820117</v>
      </c>
      <c r="BL5" s="18">
        <f>+'SEP 18'!BL55</f>
        <v>115349.36072244607</v>
      </c>
      <c r="BM5" s="18">
        <f>+'SEP 18'!BM55</f>
        <v>1093554.7860271635</v>
      </c>
      <c r="BN5" s="18">
        <f>+'SEP 18'!BN55</f>
        <v>1245951.8063273821</v>
      </c>
      <c r="BO5" s="18">
        <f>+'SEP 18'!BO55</f>
        <v>3.4691202304202307E-3</v>
      </c>
      <c r="BP5" s="18">
        <f>+'SEP 18'!BP55</f>
        <v>261.56602932906543</v>
      </c>
      <c r="BQ5" s="18">
        <f>+'SEP 18'!BQ55</f>
        <v>4.0128798844989433E-3</v>
      </c>
      <c r="BR5" s="18">
        <f>+'SEP 18'!BR55</f>
        <v>1508167.7960000036</v>
      </c>
      <c r="BS5" s="18">
        <f>+'SEP 18'!BS55</f>
        <v>5925980.582785489</v>
      </c>
      <c r="BT5" s="18">
        <f>+'SEP 18'!BT55</f>
        <v>70580.134932017885</v>
      </c>
      <c r="BU5" s="18">
        <f>+'SEP 18'!BU55</f>
        <v>286381.4384778887</v>
      </c>
      <c r="BV5" s="18">
        <f>+'SEP 18'!BV55</f>
        <v>9298.8778600000005</v>
      </c>
      <c r="BW5" s="18">
        <f>+'SEP 18'!BW55</f>
        <v>114249.25599999999</v>
      </c>
      <c r="BX5" s="18">
        <f>+'SEP 18'!BX55</f>
        <v>22663.665000000001</v>
      </c>
      <c r="BY5" s="18">
        <f>+'SEP 18'!BY55</f>
        <v>760288.17794000055</v>
      </c>
      <c r="BZ5" s="18">
        <f>+'SEP 18'!BZ55</f>
        <v>1895292.1371399905</v>
      </c>
      <c r="CA5" s="18">
        <f>+'SEP 18'!CA55</f>
        <v>4455274.4105599932</v>
      </c>
      <c r="CB5" s="18">
        <f>+'SEP 18'!CB55</f>
        <v>20118.565999999999</v>
      </c>
      <c r="CC5" s="18">
        <f>+'SEP 18'!CC55</f>
        <v>1113768.19</v>
      </c>
      <c r="CD5" s="18">
        <f>+'SEP 18'!CD55</f>
        <v>0</v>
      </c>
      <c r="CE5" s="18">
        <f>+'SEP 18'!CE55</f>
        <v>-5396.2370000000064</v>
      </c>
      <c r="CF5" s="18">
        <f>+'SEP 18'!CF55</f>
        <v>-306048.27439999999</v>
      </c>
      <c r="CG5" s="18">
        <f>+'SEP 18'!CG55</f>
        <v>376074.1655</v>
      </c>
      <c r="CH5" s="18">
        <f>+'SEP 18'!CH55</f>
        <v>2.9318200000000001</v>
      </c>
      <c r="CI5" s="18">
        <f>+'SEP 18'!CI55</f>
        <v>800732.78243999928</v>
      </c>
      <c r="CJ5" s="18">
        <f>+'SEP 18'!CJ55</f>
        <v>221.99303999973927</v>
      </c>
      <c r="CK5" s="18">
        <f>+'SEP 18'!CK55</f>
        <v>0</v>
      </c>
      <c r="CL5" s="18">
        <f>+'SEP 18'!CL55</f>
        <v>0</v>
      </c>
      <c r="CM5" s="18">
        <f>+'SEP 18'!CM55</f>
        <v>79545.207070000004</v>
      </c>
      <c r="CN5" s="18">
        <f>+'SEP 18'!CN55</f>
        <v>647657.33605000004</v>
      </c>
      <c r="CO5" s="18">
        <f>+'SEP 18'!CO55</f>
        <v>736464.8368199995</v>
      </c>
      <c r="CP5" s="18">
        <f>+'SEP 18'!CP55</f>
        <v>9152723.6727600005</v>
      </c>
      <c r="CQ5" s="18">
        <f>+'SEP 18'!CQ55</f>
        <v>377715.39094000001</v>
      </c>
      <c r="CR5" s="18">
        <f>+'SEP 18'!CR55</f>
        <v>14148.404510000371</v>
      </c>
      <c r="CS5" s="18">
        <f>+'SEP 18'!CS55</f>
        <v>5013.4199999999992</v>
      </c>
      <c r="CT5" s="18">
        <f>+'SEP 18'!CT55</f>
        <v>20149.387893799994</v>
      </c>
      <c r="CU5" s="18">
        <f>+'SEP 18'!CU55</f>
        <v>5013.4199999999992</v>
      </c>
      <c r="CV5" s="18">
        <f>+'SEP 18'!CV55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439484961.35714859</v>
      </c>
    </row>
    <row r="6" spans="1:101" s="20" customFormat="1" x14ac:dyDescent="0.3">
      <c r="A6" s="173"/>
      <c r="B6" s="19"/>
      <c r="C6" s="19" t="s">
        <v>91</v>
      </c>
      <c r="D6" s="19">
        <v>-4161.4836500000001</v>
      </c>
      <c r="E6" s="19">
        <v>9257366.1114799827</v>
      </c>
      <c r="F6" s="19">
        <v>21772381.307030018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-9948614.3379599992</v>
      </c>
      <c r="AM6" s="19">
        <v>-1321825.4391900003</v>
      </c>
      <c r="AN6" s="19">
        <v>32317.797570000006</v>
      </c>
      <c r="AO6" s="19">
        <v>215362.09955000001</v>
      </c>
      <c r="AP6" s="19">
        <v>492639.73775000009</v>
      </c>
      <c r="AQ6" s="19">
        <v>-1716658.05104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27904.695999999996</v>
      </c>
      <c r="BX6" s="19">
        <v>0</v>
      </c>
      <c r="BY6" s="19">
        <v>-18443.471000000023</v>
      </c>
      <c r="BZ6" s="19">
        <v>-773766.46999999939</v>
      </c>
      <c r="CA6" s="19">
        <v>-1847214.449</v>
      </c>
      <c r="CB6" s="19">
        <v>0</v>
      </c>
      <c r="CC6" s="19">
        <v>0</v>
      </c>
      <c r="CD6" s="19">
        <v>0</v>
      </c>
      <c r="CE6" s="19">
        <v>17986.379000000001</v>
      </c>
      <c r="CF6" s="19">
        <v>851826.85600000003</v>
      </c>
      <c r="CG6" s="19">
        <v>34244.085000000021</v>
      </c>
      <c r="CH6" s="19">
        <v>0</v>
      </c>
      <c r="CI6" s="19">
        <v>-800732.77600000007</v>
      </c>
      <c r="CJ6" s="19">
        <v>-221.99199999996927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444869.91614994511</v>
      </c>
      <c r="E8" s="18">
        <f t="shared" si="0"/>
        <v>27513586.407381319</v>
      </c>
      <c r="F8" s="18">
        <f t="shared" si="0"/>
        <v>27481518.842664391</v>
      </c>
      <c r="G8" s="18">
        <f t="shared" si="0"/>
        <v>0</v>
      </c>
      <c r="H8" s="18">
        <f t="shared" si="0"/>
        <v>0</v>
      </c>
      <c r="I8" s="18">
        <f t="shared" si="0"/>
        <v>75161.77743457834</v>
      </c>
      <c r="J8" s="18">
        <f t="shared" si="0"/>
        <v>0</v>
      </c>
      <c r="K8" s="18">
        <f t="shared" si="0"/>
        <v>163081.68768414296</v>
      </c>
      <c r="L8" s="18">
        <f t="shared" si="0"/>
        <v>464313.61321481748</v>
      </c>
      <c r="M8" s="18">
        <f t="shared" si="0"/>
        <v>580656.19827148423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5255884.2134668669</v>
      </c>
      <c r="Q8" s="18">
        <f t="shared" si="0"/>
        <v>20462707.885771289</v>
      </c>
      <c r="R8" s="18">
        <f t="shared" si="0"/>
        <v>3242756.8945100005</v>
      </c>
      <c r="S8" s="18">
        <f t="shared" si="0"/>
        <v>13339023.621737326</v>
      </c>
      <c r="T8" s="18">
        <f t="shared" si="0"/>
        <v>56575.250000000007</v>
      </c>
      <c r="U8" s="18">
        <f t="shared" si="0"/>
        <v>227353.77856949999</v>
      </c>
      <c r="V8" s="18">
        <f t="shared" si="0"/>
        <v>46326370.969999991</v>
      </c>
      <c r="W8" s="18">
        <f t="shared" si="0"/>
        <v>184665369.46916798</v>
      </c>
      <c r="X8" s="18">
        <f t="shared" si="0"/>
        <v>2405509.0999999996</v>
      </c>
      <c r="Y8" s="18">
        <f t="shared" si="0"/>
        <v>9664866.7635749988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146351.33999999726</v>
      </c>
      <c r="AI8" s="18">
        <f t="shared" si="0"/>
        <v>604520.75419258873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15955097.461765243</v>
      </c>
      <c r="AM8" s="18">
        <f t="shared" si="0"/>
        <v>97198211.425815344</v>
      </c>
      <c r="AN8" s="18">
        <f t="shared" si="0"/>
        <v>4853701.1557200011</v>
      </c>
      <c r="AO8" s="18">
        <f t="shared" si="0"/>
        <v>1183584.62845144</v>
      </c>
      <c r="AP8" s="18">
        <f t="shared" si="0"/>
        <v>7620995.5088501452</v>
      </c>
      <c r="AQ8" s="18">
        <f t="shared" si="0"/>
        <v>1923382.9864121631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4373123.2868879996</v>
      </c>
      <c r="AZ8" s="18">
        <f t="shared" si="0"/>
        <v>23756.924137323233</v>
      </c>
      <c r="BA8" s="18">
        <f t="shared" si="0"/>
        <v>206474.71772400686</v>
      </c>
      <c r="BB8" s="18">
        <f t="shared" si="0"/>
        <v>71501.012219991171</v>
      </c>
      <c r="BC8" s="18">
        <f t="shared" si="0"/>
        <v>272752.8578479985</v>
      </c>
      <c r="BD8" s="18">
        <f t="shared" si="0"/>
        <v>17427.064599989848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4885909.5036820117</v>
      </c>
      <c r="BL8" s="18">
        <f t="shared" si="0"/>
        <v>115349.36072244607</v>
      </c>
      <c r="BM8" s="18">
        <f t="shared" si="0"/>
        <v>1093554.7860271635</v>
      </c>
      <c r="BN8" s="18">
        <f t="shared" si="0"/>
        <v>1245951.8063273821</v>
      </c>
      <c r="BO8" s="18">
        <f t="shared" si="0"/>
        <v>3.4691202304202307E-3</v>
      </c>
      <c r="BP8" s="18">
        <f t="shared" si="0"/>
        <v>261.56602932906543</v>
      </c>
      <c r="BQ8" s="18">
        <f t="shared" si="0"/>
        <v>4.0128798844989433E-3</v>
      </c>
      <c r="BR8" s="18">
        <f t="shared" si="0"/>
        <v>1508167.7960000036</v>
      </c>
      <c r="BS8" s="18">
        <f t="shared" si="0"/>
        <v>5925980.582785489</v>
      </c>
      <c r="BT8" s="18">
        <f t="shared" ref="BT8:CV8" si="1">BT5+BT6+BT7</f>
        <v>70580.134932017885</v>
      </c>
      <c r="BU8" s="18">
        <f t="shared" si="1"/>
        <v>286381.4384778887</v>
      </c>
      <c r="BV8" s="18">
        <f t="shared" si="1"/>
        <v>9298.8778600000005</v>
      </c>
      <c r="BW8" s="18">
        <f t="shared" si="1"/>
        <v>142153.95199999999</v>
      </c>
      <c r="BX8" s="18">
        <f t="shared" si="1"/>
        <v>22663.665000000001</v>
      </c>
      <c r="BY8" s="18">
        <f>+BY5+BY6+BY7:BZ7</f>
        <v>741844.70694000053</v>
      </c>
      <c r="BZ8" s="18">
        <f t="shared" si="1"/>
        <v>1121525.6671399912</v>
      </c>
      <c r="CA8" s="18">
        <f t="shared" si="1"/>
        <v>2608059.9615599932</v>
      </c>
      <c r="CB8" s="18">
        <f t="shared" si="1"/>
        <v>20118.565999999999</v>
      </c>
      <c r="CC8" s="18">
        <f t="shared" si="1"/>
        <v>1113768.19</v>
      </c>
      <c r="CD8" s="18">
        <f t="shared" si="1"/>
        <v>0</v>
      </c>
      <c r="CE8" s="18">
        <f t="shared" si="1"/>
        <v>12590.141999999994</v>
      </c>
      <c r="CF8" s="18">
        <f t="shared" si="1"/>
        <v>545778.58160000003</v>
      </c>
      <c r="CG8" s="18">
        <f t="shared" si="1"/>
        <v>410318.25050000002</v>
      </c>
      <c r="CH8" s="18">
        <f t="shared" si="1"/>
        <v>2.9318200000000001</v>
      </c>
      <c r="CI8" s="18">
        <f t="shared" si="1"/>
        <v>6.4399992115795612E-3</v>
      </c>
      <c r="CJ8" s="18">
        <f t="shared" si="1"/>
        <v>1.039999770000577E-3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14148.404510000371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455755351.95668864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v>427392</v>
      </c>
      <c r="M11" s="26"/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427392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9">
        <v>300000</v>
      </c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300000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9">
        <v>-300000</v>
      </c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-300000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>
        <v>-385393882.41500998</v>
      </c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-385393882.41500998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>
        <v>-143548257</v>
      </c>
      <c r="M20" s="29">
        <v>-44348242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-187896499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-95684650.390000001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-95684650.390000001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>
        <f>403531266.97904+160917224.645</f>
        <v>564448491.62404001</v>
      </c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564448491.62404001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23155917.320999999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23155917.320999999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0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14000</v>
      </c>
      <c r="E27" s="29"/>
      <c r="F27" s="29"/>
      <c r="G27" s="26"/>
      <c r="H27" s="26"/>
      <c r="I27" s="26"/>
      <c r="J27" s="26"/>
      <c r="K27" s="26"/>
      <c r="L27" s="27">
        <f>23000000+13400000</f>
        <v>36400000</v>
      </c>
      <c r="M27" s="26">
        <f>15000000+14000000+15500000</f>
        <v>44500000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1700000</v>
      </c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82614000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-14366000</v>
      </c>
      <c r="F28" s="26">
        <f>-14000000-2729000</f>
        <v>-16729000</v>
      </c>
      <c r="G28" s="26"/>
      <c r="H28" s="26"/>
      <c r="I28" s="26"/>
      <c r="J28" s="26"/>
      <c r="K28" s="26"/>
      <c r="L28" s="27"/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-31095000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-470000-1070000-650000</f>
        <v>-2190000</v>
      </c>
      <c r="W35" s="38">
        <f>+(V35*3892.45)/1000</f>
        <v>-8524465.5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-8524465.5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/>
      <c r="M38" s="39">
        <v>-602400</v>
      </c>
      <c r="N38" s="38"/>
      <c r="O38" s="38"/>
      <c r="P38" s="38">
        <v>-878837.94</v>
      </c>
      <c r="Q38" s="38">
        <f>+(P38*3892.45)/1000</f>
        <v>-3420832.7395529994</v>
      </c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-4023232.7395529994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>
        <f>-882.24533-2571.69-13832.575-44809.75-24521.4538-665159.8255</f>
        <v>-751777.53963000001</v>
      </c>
      <c r="F40" s="44">
        <f>-46758-8377.475-1285.845</f>
        <v>-56421.32</v>
      </c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-808198.85962999996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-0.97299999999999998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f>-2.55-2.55-2.55</f>
        <v>-7.6499999999999995</v>
      </c>
      <c r="BB50" s="49">
        <f>-0.883-0.883-0.883</f>
        <v>-2.649</v>
      </c>
      <c r="BC50" s="49">
        <f>-3.368-3.369-3.369</f>
        <v>-10.106</v>
      </c>
      <c r="BD50" s="49">
        <f>-0.215-0.215-0.215</f>
        <v>-0.64500000000000002</v>
      </c>
      <c r="BE50" s="49"/>
      <c r="BF50" s="49"/>
      <c r="BG50" s="49"/>
      <c r="BH50" s="49"/>
      <c r="BI50" s="49"/>
      <c r="BJ50" s="49"/>
      <c r="BK50" s="49"/>
      <c r="BL50" s="49">
        <v>-1.494</v>
      </c>
      <c r="BM50" s="49">
        <v>-14.159000000000001</v>
      </c>
      <c r="BN50" s="49">
        <v>-16.132000000000001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-53.808000000000007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-807.59799999999996</v>
      </c>
      <c r="F51" s="49">
        <v>-64.778000000000006</v>
      </c>
      <c r="G51" s="49"/>
      <c r="H51" s="49"/>
      <c r="I51" s="49"/>
      <c r="J51" s="49"/>
      <c r="K51" s="48"/>
      <c r="L51" s="48">
        <v>-12.388</v>
      </c>
      <c r="M51" s="48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-884.76400000000001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13.904920000000001</v>
      </c>
      <c r="J52" s="49"/>
      <c r="K52" s="49"/>
      <c r="L52" s="48"/>
      <c r="M52" s="48"/>
      <c r="N52" s="49"/>
      <c r="O52" s="49"/>
      <c r="P52" s="49"/>
      <c r="Q52" s="49"/>
      <c r="R52" s="49">
        <v>246.76</v>
      </c>
      <c r="S52" s="49">
        <f>+(R52*3892.45)/1000</f>
        <v>960.50096199999996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f>36.423+36.429+36.435</f>
        <v>109.28700000000001</v>
      </c>
      <c r="BB52" s="49">
        <f>12.613+12.615+12.617</f>
        <v>37.844999999999999</v>
      </c>
      <c r="BC52" s="49">
        <f>48.115+48.123+48.131</f>
        <v>144.369</v>
      </c>
      <c r="BD52" s="49">
        <f>3.074+3.075+3.075</f>
        <v>9.2240000000000002</v>
      </c>
      <c r="BE52" s="49"/>
      <c r="BF52" s="49"/>
      <c r="BG52" s="49"/>
      <c r="BH52" s="49"/>
      <c r="BI52" s="49"/>
      <c r="BJ52" s="49"/>
      <c r="BK52" s="49"/>
      <c r="BL52" s="49">
        <v>21.33597</v>
      </c>
      <c r="BM52" s="49">
        <v>202.27294000000001</v>
      </c>
      <c r="BN52" s="49">
        <v>230.46154999999999</v>
      </c>
      <c r="BO52" s="49"/>
      <c r="BP52" s="49">
        <f>48.38/1000</f>
        <v>4.8379999999999999E-2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1729.2497219999998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-3010.3405505199999</v>
      </c>
      <c r="F53" s="49">
        <f>(F10+F13+F16+F17+F33+F38+F47+F35)*4/1000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-4.9551999999999999E-2</v>
      </c>
      <c r="M53" s="48">
        <f>(M10+M13+M17+M33+M38+M40+M51+M36+M49+M16)*4/1000</f>
        <v>-2409.6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-1200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-6619.9901025199997</v>
      </c>
    </row>
    <row r="54" spans="1:101" x14ac:dyDescent="0.3">
      <c r="C54" s="50" t="s">
        <v>141</v>
      </c>
      <c r="D54" s="51">
        <f t="shared" ref="D54:AM54" si="6">SUM(D9:D53)</f>
        <v>14000</v>
      </c>
      <c r="E54" s="51">
        <f t="shared" si="6"/>
        <v>-15121595.478180518</v>
      </c>
      <c r="F54" s="51">
        <f>SUM(F9:F53)</f>
        <v>-16785486.098000001</v>
      </c>
      <c r="G54" s="51">
        <f t="shared" si="6"/>
        <v>0</v>
      </c>
      <c r="H54" s="51">
        <f t="shared" si="6"/>
        <v>0</v>
      </c>
      <c r="I54" s="51">
        <f t="shared" si="6"/>
        <v>12.93192</v>
      </c>
      <c r="J54" s="51">
        <f t="shared" si="6"/>
        <v>0</v>
      </c>
      <c r="K54" s="51">
        <f t="shared" si="6"/>
        <v>0</v>
      </c>
      <c r="L54" s="52">
        <f>SUM(L9:L53)</f>
        <v>-195001.29752195868</v>
      </c>
      <c r="M54" s="51">
        <f t="shared" si="6"/>
        <v>-453051.6</v>
      </c>
      <c r="N54" s="51">
        <f t="shared" si="6"/>
        <v>0</v>
      </c>
      <c r="O54" s="51">
        <f t="shared" si="6"/>
        <v>0</v>
      </c>
      <c r="P54" s="51">
        <f t="shared" si="6"/>
        <v>-878837.94</v>
      </c>
      <c r="Q54" s="51">
        <f t="shared" si="6"/>
        <v>-3420832.7395529994</v>
      </c>
      <c r="R54" s="51">
        <f t="shared" si="6"/>
        <v>246.76</v>
      </c>
      <c r="S54" s="51">
        <f t="shared" si="6"/>
        <v>960.50096199999996</v>
      </c>
      <c r="T54" s="51">
        <f t="shared" si="6"/>
        <v>0</v>
      </c>
      <c r="U54" s="51">
        <f t="shared" si="6"/>
        <v>0</v>
      </c>
      <c r="V54" s="51">
        <f t="shared" si="6"/>
        <v>-2190000</v>
      </c>
      <c r="W54" s="51">
        <f t="shared" si="6"/>
        <v>-8524465.5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300000</v>
      </c>
      <c r="AN54" s="51">
        <f t="shared" ref="AN54:CV54" si="7">SUM(AN9:AN53)</f>
        <v>0</v>
      </c>
      <c r="AO54" s="51">
        <f t="shared" si="7"/>
        <v>-301200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101.637</v>
      </c>
      <c r="BB54" s="51">
        <f t="shared" si="7"/>
        <v>35.195999999999998</v>
      </c>
      <c r="BC54" s="51">
        <f t="shared" si="7"/>
        <v>134.26300000000001</v>
      </c>
      <c r="BD54" s="51">
        <f t="shared" si="7"/>
        <v>8.5790000000000006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19.84197</v>
      </c>
      <c r="BM54" s="51">
        <f t="shared" si="7"/>
        <v>188.11394000000001</v>
      </c>
      <c r="BN54" s="51">
        <f t="shared" si="7"/>
        <v>214.32954999999998</v>
      </c>
      <c r="BO54" s="51">
        <f t="shared" si="7"/>
        <v>0</v>
      </c>
      <c r="BP54" s="51">
        <f t="shared" si="7"/>
        <v>4.8379999999999999E-2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1700000</v>
      </c>
      <c r="CA54" s="51">
        <f t="shared" si="7"/>
        <v>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-42785957.271533482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458869.91614994511</v>
      </c>
      <c r="E55" s="56">
        <f t="shared" si="8"/>
        <v>12391990.9292008</v>
      </c>
      <c r="F55" s="56">
        <f>+F8+F54</f>
        <v>10696032.74466439</v>
      </c>
      <c r="G55" s="56">
        <f t="shared" si="8"/>
        <v>0</v>
      </c>
      <c r="H55" s="56">
        <f t="shared" si="8"/>
        <v>0</v>
      </c>
      <c r="I55" s="56">
        <f t="shared" si="8"/>
        <v>75174.709354578343</v>
      </c>
      <c r="J55" s="56">
        <f t="shared" si="8"/>
        <v>0</v>
      </c>
      <c r="K55" s="56">
        <f t="shared" si="8"/>
        <v>163081.68768414296</v>
      </c>
      <c r="L55" s="56">
        <f t="shared" si="8"/>
        <v>269312.31569285877</v>
      </c>
      <c r="M55" s="56">
        <f t="shared" si="8"/>
        <v>127604.59827148425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4377046.2734668665</v>
      </c>
      <c r="Q55" s="56">
        <f t="shared" si="8"/>
        <v>17041875.146218289</v>
      </c>
      <c r="R55" s="56">
        <f t="shared" si="8"/>
        <v>3243003.6545100003</v>
      </c>
      <c r="S55" s="56">
        <f t="shared" si="8"/>
        <v>13339984.122699326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44136370.969999991</v>
      </c>
      <c r="W55" s="56">
        <f t="shared" si="8"/>
        <v>176140903.96916798</v>
      </c>
      <c r="X55" s="56">
        <f t="shared" si="8"/>
        <v>2405509.0999999996</v>
      </c>
      <c r="Y55" s="56">
        <f t="shared" si="8"/>
        <v>9664866.7635749988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146351.33999999726</v>
      </c>
      <c r="AI55" s="56">
        <f t="shared" si="8"/>
        <v>604520.75419258873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15955097.461765243</v>
      </c>
      <c r="AM55" s="56">
        <f t="shared" si="8"/>
        <v>97498211.425815344</v>
      </c>
      <c r="AN55" s="56">
        <f t="shared" si="8"/>
        <v>4853701.1557200011</v>
      </c>
      <c r="AO55" s="56">
        <f t="shared" si="8"/>
        <v>882384.62845144002</v>
      </c>
      <c r="AP55" s="56">
        <f t="shared" si="8"/>
        <v>7620995.5088501452</v>
      </c>
      <c r="AQ55" s="56">
        <f t="shared" si="8"/>
        <v>1923382.9864121631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87470.533549996806</v>
      </c>
      <c r="AX55" s="56">
        <f t="shared" si="8"/>
        <v>1064.5961240010877</v>
      </c>
      <c r="AY55" s="56">
        <f t="shared" si="8"/>
        <v>4373123.2868879996</v>
      </c>
      <c r="AZ55" s="56">
        <f t="shared" si="8"/>
        <v>23756.924137323233</v>
      </c>
      <c r="BA55" s="56">
        <f t="shared" si="8"/>
        <v>206576.35472400684</v>
      </c>
      <c r="BB55" s="56">
        <f t="shared" si="8"/>
        <v>71536.208219991167</v>
      </c>
      <c r="BC55" s="56">
        <f t="shared" si="8"/>
        <v>272887.12084799848</v>
      </c>
      <c r="BD55" s="56">
        <f t="shared" si="8"/>
        <v>17435.643599989849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4885909.5036820117</v>
      </c>
      <c r="BL55" s="56">
        <f t="shared" si="8"/>
        <v>115369.20269244607</v>
      </c>
      <c r="BM55" s="56">
        <f t="shared" si="8"/>
        <v>1093742.8999671636</v>
      </c>
      <c r="BN55" s="56">
        <f t="shared" si="8"/>
        <v>1246166.135877382</v>
      </c>
      <c r="BO55" s="56">
        <f t="shared" si="8"/>
        <v>3.4691202304202307E-3</v>
      </c>
      <c r="BP55" s="56">
        <f t="shared" si="8"/>
        <v>261.61440932906544</v>
      </c>
      <c r="BQ55" s="56">
        <f t="shared" si="8"/>
        <v>4.0128798844989433E-3</v>
      </c>
      <c r="BR55" s="56">
        <f t="shared" si="8"/>
        <v>1508167.7960000036</v>
      </c>
      <c r="BS55" s="56">
        <f t="shared" si="8"/>
        <v>5925980.582785489</v>
      </c>
      <c r="BT55" s="56">
        <f t="shared" ref="BT55:CV55" si="9">+BT8+BT54</f>
        <v>70580.134932017885</v>
      </c>
      <c r="BU55" s="56">
        <f t="shared" si="9"/>
        <v>286381.4384778887</v>
      </c>
      <c r="BV55" s="56">
        <f t="shared" si="9"/>
        <v>9298.8778600000005</v>
      </c>
      <c r="BW55" s="56">
        <f t="shared" si="9"/>
        <v>142153.95199999999</v>
      </c>
      <c r="BX55" s="56">
        <f t="shared" si="9"/>
        <v>22663.665000000001</v>
      </c>
      <c r="BY55" s="56">
        <f t="shared" si="9"/>
        <v>741844.70694000053</v>
      </c>
      <c r="BZ55" s="56">
        <f t="shared" si="9"/>
        <v>2821525.6671399912</v>
      </c>
      <c r="CA55" s="56">
        <f t="shared" si="9"/>
        <v>2608059.9615599932</v>
      </c>
      <c r="CB55" s="56">
        <f t="shared" si="9"/>
        <v>20118.565999999999</v>
      </c>
      <c r="CC55" s="56">
        <f t="shared" si="9"/>
        <v>1113768.19</v>
      </c>
      <c r="CD55" s="56">
        <f t="shared" si="9"/>
        <v>0</v>
      </c>
      <c r="CE55" s="56">
        <f t="shared" si="9"/>
        <v>12590.141999999994</v>
      </c>
      <c r="CF55" s="56">
        <f t="shared" si="9"/>
        <v>545778.58160000003</v>
      </c>
      <c r="CG55" s="56">
        <f t="shared" si="9"/>
        <v>410318.25050000002</v>
      </c>
      <c r="CH55" s="56">
        <f t="shared" si="9"/>
        <v>2.9318200000000001</v>
      </c>
      <c r="CI55" s="56">
        <f t="shared" si="9"/>
        <v>6.4399992115795612E-3</v>
      </c>
      <c r="CJ55" s="56">
        <f t="shared" si="9"/>
        <v>1.039999770000577E-3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14148.404510000371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412969394.68515509</v>
      </c>
    </row>
    <row r="56" spans="1:101" s="71" customFormat="1" x14ac:dyDescent="0.3">
      <c r="A56" s="1"/>
      <c r="B56" s="2"/>
      <c r="C56" s="3"/>
      <c r="D56" s="57" t="s">
        <v>143</v>
      </c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57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57"/>
      <c r="BB56" s="57"/>
      <c r="BC56" s="57"/>
      <c r="BD56" s="57"/>
      <c r="BE56" s="1"/>
      <c r="BF56" s="1"/>
      <c r="BG56" s="1"/>
      <c r="BH56" s="1"/>
      <c r="BI56" s="1"/>
      <c r="BJ56" s="1"/>
      <c r="BK56" s="1"/>
      <c r="BL56" s="57"/>
      <c r="BM56" s="57"/>
      <c r="BN56" s="57"/>
      <c r="BO56" s="57"/>
      <c r="BP56" s="57"/>
      <c r="BQ56" s="57"/>
      <c r="BR56" s="1"/>
      <c r="BS56" s="1"/>
      <c r="BT56" s="1"/>
      <c r="BU56" s="1"/>
      <c r="BV56" s="1"/>
      <c r="BW56" s="1"/>
      <c r="BY56" s="67"/>
      <c r="BZ56" s="67"/>
      <c r="CA56" s="67"/>
      <c r="CI56" s="67"/>
      <c r="CJ56" s="67"/>
      <c r="CK56" s="67"/>
      <c r="CL56" s="67"/>
      <c r="CM56" s="67"/>
      <c r="CN56" s="67"/>
      <c r="CO56" s="67"/>
      <c r="CP56" s="67"/>
      <c r="CQ56" s="67"/>
    </row>
    <row r="57" spans="1:101" s="71" customFormat="1" ht="18" x14ac:dyDescent="0.35">
      <c r="A57" s="1"/>
      <c r="B57" s="2"/>
      <c r="C57" s="3"/>
      <c r="D57" s="62"/>
      <c r="E57" s="62"/>
      <c r="F57" s="62"/>
      <c r="G57" s="63"/>
      <c r="H57" s="64"/>
      <c r="I57" s="65"/>
      <c r="J57" s="149"/>
      <c r="K57" s="1"/>
      <c r="L57" s="67"/>
      <c r="M57" s="1"/>
      <c r="N57" s="67"/>
      <c r="O57" s="67"/>
      <c r="P57" s="151"/>
      <c r="R57" s="69"/>
      <c r="S57" s="70"/>
      <c r="T57" s="70"/>
      <c r="U57" s="70"/>
      <c r="V57" s="70"/>
      <c r="W57" s="70"/>
      <c r="X57" s="70"/>
      <c r="Y57" s="70"/>
      <c r="AA57" s="63"/>
      <c r="AB57" s="1"/>
      <c r="AC57" s="1"/>
      <c r="AD57" s="1"/>
      <c r="AE57" s="1"/>
      <c r="AF57" s="1"/>
      <c r="AG57" s="1"/>
      <c r="AH57" s="1"/>
      <c r="AI57" s="1"/>
      <c r="AK57" s="72"/>
      <c r="AL57" s="73"/>
      <c r="AM57" s="73"/>
      <c r="AO57" s="57"/>
      <c r="AP57" s="57"/>
      <c r="AQ57" s="57"/>
      <c r="AR57" s="1"/>
      <c r="AS57" s="1"/>
      <c r="AT57" s="1"/>
      <c r="AU57" s="1"/>
      <c r="AV57" s="1"/>
      <c r="AW57" s="1"/>
      <c r="AX57" s="1"/>
      <c r="AY57" s="1"/>
      <c r="AZ57" s="1"/>
      <c r="BA57" s="58"/>
      <c r="BB57" s="58"/>
      <c r="BC57" s="58"/>
      <c r="BD57" s="58"/>
      <c r="BE57" s="1"/>
      <c r="BF57" s="1"/>
      <c r="BG57" s="1"/>
      <c r="BH57" s="1"/>
      <c r="BI57" s="1"/>
      <c r="BJ57" s="1"/>
      <c r="BK57" s="1"/>
      <c r="BL57" s="74"/>
      <c r="BM57" s="57"/>
      <c r="BN57" s="57"/>
      <c r="BO57" s="75"/>
      <c r="BP57" s="75"/>
      <c r="BQ57" s="75"/>
      <c r="BR57" s="1"/>
      <c r="BS57" s="1"/>
      <c r="BT57" s="1"/>
      <c r="BU57" s="1"/>
      <c r="BV57" s="1"/>
      <c r="BW57" s="1"/>
      <c r="BY57" s="155"/>
      <c r="BZ57" s="155"/>
      <c r="CA57" s="155"/>
      <c r="CI57" s="67"/>
      <c r="CJ57" s="67"/>
      <c r="CK57" s="67"/>
      <c r="CL57" s="67"/>
      <c r="CM57" s="67"/>
      <c r="CN57" s="67"/>
      <c r="CO57" s="67"/>
      <c r="CP57" s="67"/>
      <c r="CQ57" s="67"/>
    </row>
    <row r="58" spans="1:101" s="71" customFormat="1" x14ac:dyDescent="0.3">
      <c r="A58" s="1"/>
      <c r="B58" s="2"/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K58" s="1"/>
      <c r="L58" s="1"/>
      <c r="M58" s="1"/>
      <c r="N58" s="67"/>
      <c r="O58" s="67"/>
      <c r="P58" s="152"/>
      <c r="R58" s="67"/>
      <c r="S58" s="67"/>
      <c r="T58" s="67"/>
      <c r="U58" s="67"/>
      <c r="V58" s="67"/>
      <c r="W58" s="67"/>
      <c r="X58" s="67"/>
      <c r="Y58" s="67"/>
      <c r="Z58" s="67"/>
      <c r="AA58" s="57"/>
      <c r="AB58" s="1"/>
      <c r="AC58" s="1"/>
      <c r="AD58" s="1"/>
      <c r="AE58" s="1"/>
      <c r="AF58" s="1"/>
      <c r="AG58" s="1"/>
      <c r="AH58" s="1"/>
      <c r="AI58" s="1"/>
      <c r="AK58" s="78"/>
      <c r="AL58" s="79"/>
      <c r="AM58" s="67"/>
      <c r="AO58" s="67"/>
      <c r="AP58" s="67"/>
      <c r="AQ58" s="67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80"/>
      <c r="BM58" s="80"/>
      <c r="BN58" s="57"/>
      <c r="BO58" s="57"/>
      <c r="BP58" s="80"/>
      <c r="BQ58" s="57"/>
      <c r="BR58" s="1"/>
      <c r="BS58" s="1"/>
      <c r="BT58" s="1"/>
      <c r="BU58" s="1"/>
      <c r="BV58" s="1"/>
      <c r="BW58" s="1"/>
      <c r="BX58" s="156"/>
      <c r="BY58" s="67"/>
      <c r="BZ58" s="67"/>
      <c r="CA58" s="67"/>
      <c r="CB58" s="67"/>
      <c r="CI58" s="67"/>
      <c r="CJ58" s="67"/>
      <c r="CK58" s="67"/>
      <c r="CL58" s="67"/>
      <c r="CM58" s="67"/>
      <c r="CN58" s="67"/>
      <c r="CO58" s="67"/>
      <c r="CP58" s="67"/>
      <c r="CQ58" s="67"/>
    </row>
    <row r="59" spans="1:101" s="71" customFormat="1" x14ac:dyDescent="0.3">
      <c r="A59" s="1"/>
      <c r="B59" s="2"/>
      <c r="C59" s="3"/>
      <c r="D59" s="62"/>
      <c r="E59" s="81"/>
      <c r="F59" s="62"/>
      <c r="G59" s="62"/>
      <c r="H59" s="59"/>
      <c r="I59" s="77"/>
      <c r="J59" s="66"/>
      <c r="K59" s="1"/>
      <c r="L59" s="1"/>
      <c r="M59" s="1"/>
      <c r="O59" s="67"/>
      <c r="P59" s="152"/>
      <c r="R59" s="67"/>
      <c r="S59" s="67"/>
      <c r="T59" s="67"/>
      <c r="U59" s="67"/>
      <c r="V59" s="67"/>
      <c r="W59" s="67"/>
      <c r="X59" s="67"/>
      <c r="Y59" s="67"/>
      <c r="Z59" s="67"/>
      <c r="AA59" s="57"/>
      <c r="AB59" s="1"/>
      <c r="AC59" s="1"/>
      <c r="AD59" s="1"/>
      <c r="AE59" s="1"/>
      <c r="AF59" s="1"/>
      <c r="AG59" s="1"/>
      <c r="AH59" s="1"/>
      <c r="AI59" s="1"/>
      <c r="AK59" s="78"/>
      <c r="AL59" s="79"/>
      <c r="AM59" s="73"/>
      <c r="AO59" s="67"/>
      <c r="AP59" s="67"/>
      <c r="AQ59" s="67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57"/>
      <c r="BM59" s="57"/>
      <c r="BN59" s="57"/>
      <c r="BO59" s="57"/>
      <c r="BP59" s="74"/>
      <c r="BQ59" s="57"/>
      <c r="BR59" s="1"/>
      <c r="BS59" s="1"/>
      <c r="BT59" s="1"/>
      <c r="BU59" s="1"/>
      <c r="BV59" s="1"/>
      <c r="BW59" s="1"/>
      <c r="BX59" s="156"/>
      <c r="BY59" s="156"/>
      <c r="BZ59" s="67"/>
      <c r="CA59" s="67"/>
      <c r="CD59" s="67"/>
      <c r="CJ59" s="69"/>
    </row>
    <row r="60" spans="1:101" s="71" customFormat="1" x14ac:dyDescent="0.3">
      <c r="A60" s="1"/>
      <c r="B60" s="2"/>
      <c r="C60" s="82" t="s">
        <v>148</v>
      </c>
      <c r="D60" s="83">
        <f>SUM(D61:D72)</f>
        <v>670945800.94503999</v>
      </c>
      <c r="F60" s="84" t="s">
        <v>49</v>
      </c>
      <c r="G60" s="84" t="s">
        <v>149</v>
      </c>
      <c r="H60" s="85"/>
      <c r="I60" s="86"/>
      <c r="J60" s="57"/>
      <c r="K60" s="1"/>
      <c r="L60" s="1"/>
      <c r="M60" s="1"/>
      <c r="O60" s="67"/>
      <c r="P60" s="152"/>
      <c r="R60" s="67"/>
      <c r="S60" s="67"/>
      <c r="T60" s="67"/>
      <c r="U60" s="67"/>
      <c r="V60" s="67"/>
      <c r="W60" s="67"/>
      <c r="X60" s="67"/>
      <c r="Y60" s="67"/>
      <c r="Z60" s="67"/>
      <c r="AA60" s="57"/>
      <c r="AB60" s="1"/>
      <c r="AC60" s="1"/>
      <c r="AD60" s="1"/>
      <c r="AE60" s="1"/>
      <c r="AF60" s="1"/>
      <c r="AG60" s="1"/>
      <c r="AH60" s="1"/>
      <c r="AI60" s="1"/>
      <c r="AK60" s="78"/>
      <c r="AL60" s="79"/>
      <c r="AM60" s="73"/>
      <c r="AO60" s="67"/>
      <c r="AP60" s="67"/>
      <c r="AQ60" s="67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59"/>
      <c r="BP60" s="1"/>
      <c r="BQ60" s="1"/>
      <c r="BR60" s="1"/>
      <c r="BS60" s="1"/>
      <c r="BT60" s="1"/>
      <c r="BU60" s="1"/>
      <c r="BV60" s="1"/>
      <c r="BW60" s="1"/>
      <c r="BX60" s="156"/>
      <c r="BY60" s="157"/>
      <c r="BZ60" s="157"/>
      <c r="CA60" s="157"/>
      <c r="CJ60" s="67"/>
    </row>
    <row r="61" spans="1:101" s="71" customFormat="1" ht="15" customHeight="1" x14ac:dyDescent="0.3">
      <c r="A61" s="1"/>
      <c r="B61" s="165" t="s">
        <v>94</v>
      </c>
      <c r="C61" s="87" t="s">
        <v>150</v>
      </c>
      <c r="D61" s="88">
        <f>CW18+CW23</f>
        <v>23155917.320999999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K61" s="1"/>
      <c r="L61" s="1"/>
      <c r="M61" s="1"/>
      <c r="N61" s="67"/>
      <c r="O61" s="67"/>
      <c r="P61" s="152"/>
      <c r="R61" s="67"/>
      <c r="S61" s="67"/>
      <c r="T61" s="67"/>
      <c r="U61" s="67"/>
      <c r="V61" s="67"/>
      <c r="W61" s="67"/>
      <c r="X61" s="67"/>
      <c r="Y61" s="67"/>
      <c r="AA61" s="1"/>
      <c r="AB61" s="1"/>
      <c r="AC61" s="1"/>
      <c r="AD61" s="1"/>
      <c r="AE61" s="1"/>
      <c r="AF61" s="1"/>
      <c r="AG61" s="1"/>
      <c r="AH61" s="1"/>
      <c r="AI61" s="1"/>
      <c r="AK61" s="78"/>
      <c r="AL61" s="79"/>
      <c r="AM61" s="73"/>
      <c r="AO61" s="67"/>
      <c r="AP61" s="67"/>
      <c r="AQ61" s="67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56"/>
      <c r="BY61" s="156"/>
      <c r="BZ61" s="67"/>
      <c r="CA61" s="156"/>
      <c r="CD61" s="156"/>
    </row>
    <row r="62" spans="1:101" x14ac:dyDescent="0.3">
      <c r="B62" s="165"/>
      <c r="C62" s="87" t="s">
        <v>152</v>
      </c>
      <c r="D62" s="88">
        <f>CW11+CW15</f>
        <v>427392</v>
      </c>
      <c r="E62" s="67" t="s">
        <v>205</v>
      </c>
      <c r="F62" s="89" t="s">
        <v>153</v>
      </c>
      <c r="G62" s="91">
        <f>P55</f>
        <v>4377046.2734668665</v>
      </c>
      <c r="H62" s="92"/>
      <c r="I62" s="86"/>
      <c r="J62" s="66"/>
      <c r="N62" s="67"/>
      <c r="O62" s="67"/>
      <c r="P62" s="152"/>
      <c r="Q62" s="71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82614000</v>
      </c>
      <c r="E63" s="67" t="s">
        <v>205</v>
      </c>
      <c r="F63" s="89" t="s">
        <v>155</v>
      </c>
      <c r="G63" s="91">
        <f>R55</f>
        <v>3243003.6545100003</v>
      </c>
      <c r="H63" s="93"/>
      <c r="I63" s="94"/>
      <c r="J63" s="57"/>
      <c r="N63" s="153"/>
      <c r="O63" s="153"/>
      <c r="P63" s="151"/>
      <c r="Q63" s="71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300000</v>
      </c>
      <c r="E64" s="67" t="s">
        <v>205</v>
      </c>
      <c r="H64" s="57"/>
      <c r="I64" s="77"/>
      <c r="J64" s="66"/>
      <c r="N64" s="153"/>
      <c r="O64" s="153"/>
      <c r="P64" s="152"/>
      <c r="Q64" s="71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564448491.62404001</v>
      </c>
      <c r="E65" s="67" t="s">
        <v>205</v>
      </c>
      <c r="H65" s="57"/>
      <c r="I65" s="98"/>
      <c r="J65" s="66"/>
      <c r="N65" s="153"/>
      <c r="O65" s="153"/>
      <c r="P65" s="152"/>
      <c r="Q65" s="71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152"/>
      <c r="Q66" s="71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71"/>
      <c r="Q67" s="71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44136370.969999991</v>
      </c>
      <c r="H68" s="57"/>
      <c r="I68" s="98"/>
      <c r="J68" s="108"/>
      <c r="M68" s="101"/>
      <c r="N68" s="101"/>
      <c r="O68" s="69"/>
      <c r="P68" s="6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2405509.0999999996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-705201463.40419292</v>
      </c>
      <c r="E73" s="71"/>
      <c r="F73" s="114" t="s">
        <v>163</v>
      </c>
      <c r="G73" s="115">
        <f>L55*1000</f>
        <v>269312315.69285876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127604598.27148426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-573290381.41500998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-95984650.390000001</v>
      </c>
      <c r="E76" s="67">
        <v>300000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-31095000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-4023232.7395529994</v>
      </c>
      <c r="E81" s="101" t="s">
        <v>205</v>
      </c>
      <c r="F81" s="128" t="s">
        <v>172</v>
      </c>
      <c r="G81" s="126">
        <f>AH55</f>
        <v>146351.33999999726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-808198.85962999996</v>
      </c>
      <c r="E82" s="71" t="s">
        <v>205</v>
      </c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206474.71772400686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109.28700000000001</v>
      </c>
      <c r="L92" s="143">
        <f>BA50+BA51+BA53+BA40+BA42+BA43+BA45</f>
        <v>-7.6499999999999995</v>
      </c>
      <c r="M92" s="144">
        <f t="shared" si="10"/>
        <v>206576.35472400687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87470.533549996806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272752.8578479985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144.369</v>
      </c>
      <c r="L98" s="143">
        <f>BC50+BC51+BC53+BC40+BC42+BC43+BC45</f>
        <v>-10.106</v>
      </c>
      <c r="M98" s="144">
        <f t="shared" si="10"/>
        <v>272887.12084799848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71501.012219991171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37.844999999999999</v>
      </c>
      <c r="L99" s="143">
        <f>BB50+BB51+BB53+BB40+BB42+BB43+BB45</f>
        <v>-2.649</v>
      </c>
      <c r="M99" s="144">
        <f t="shared" si="10"/>
        <v>71536.208219991167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17427.064599989848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9.2240000000000002</v>
      </c>
      <c r="L104" s="143">
        <f>BD50+BD51+BD53+BD40+BD42+BD43+BD45</f>
        <v>-0.64500000000000002</v>
      </c>
      <c r="M104" s="144">
        <f t="shared" si="10"/>
        <v>17435.643599989846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4373123.2868879996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4373123.2868879996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608644.51569167932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109.28700000000001</v>
      </c>
      <c r="L108" s="98">
        <f t="shared" si="11"/>
        <v>-7.6499999999999995</v>
      </c>
      <c r="M108" s="98">
        <f t="shared" si="11"/>
        <v>608746.15269167931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847891.52877235273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182.214</v>
      </c>
      <c r="L109" s="98">
        <f t="shared" si="12"/>
        <v>-12.754999999999999</v>
      </c>
      <c r="M109" s="98">
        <f t="shared" si="12"/>
        <v>848060.98777235276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4650523.9279914293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9.2240000000000002</v>
      </c>
      <c r="L110" s="98">
        <f t="shared" si="13"/>
        <v>-0.64500000000000002</v>
      </c>
      <c r="M110" s="98">
        <f t="shared" si="13"/>
        <v>4650532.5069914293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+'SEP 19'!D55</f>
        <v>458869.91614994511</v>
      </c>
      <c r="E5" s="18">
        <f>+'SEP 19'!E55</f>
        <v>12391990.9292008</v>
      </c>
      <c r="F5" s="18">
        <f>+'SEP 19'!F55</f>
        <v>10696032.74466439</v>
      </c>
      <c r="G5" s="18">
        <f>+'SEP 19'!G55</f>
        <v>0</v>
      </c>
      <c r="H5" s="18">
        <f>+'SEP 19'!H55</f>
        <v>0</v>
      </c>
      <c r="I5" s="18">
        <f>+'SEP 19'!I55</f>
        <v>75174.709354578343</v>
      </c>
      <c r="J5" s="18">
        <f>+'SEP 19'!J55</f>
        <v>0</v>
      </c>
      <c r="K5" s="18">
        <f>+'SEP 19'!K55</f>
        <v>163081.68768414296</v>
      </c>
      <c r="L5" s="18">
        <f>+'SEP 19'!L55</f>
        <v>269312.31569285877</v>
      </c>
      <c r="M5" s="18">
        <f>+'SEP 19'!M55</f>
        <v>127604.59827148425</v>
      </c>
      <c r="N5" s="18">
        <f>+'SEP 19'!N55</f>
        <v>120822.5199999999</v>
      </c>
      <c r="O5" s="18">
        <f>+'SEP 19'!O55</f>
        <v>485514.42259319959</v>
      </c>
      <c r="P5" s="18">
        <f>+'SEP 19'!P55</f>
        <v>4377046.2734668665</v>
      </c>
      <c r="Q5" s="18">
        <f>+'SEP 19'!Q55</f>
        <v>17041875.146218289</v>
      </c>
      <c r="R5" s="18">
        <f>+'SEP 19'!R55</f>
        <v>3243003.6545100003</v>
      </c>
      <c r="S5" s="18">
        <f>+'SEP 19'!S55</f>
        <v>13339984.122699326</v>
      </c>
      <c r="T5" s="18">
        <f>+'SEP 19'!T55</f>
        <v>56575.250000000007</v>
      </c>
      <c r="U5" s="18">
        <f>+'SEP 19'!U55</f>
        <v>227353.77856949999</v>
      </c>
      <c r="V5" s="18">
        <f>+'SEP 19'!V55</f>
        <v>44136370.969999991</v>
      </c>
      <c r="W5" s="18">
        <f>+'SEP 19'!W55</f>
        <v>176140903.96916798</v>
      </c>
      <c r="X5" s="18">
        <f>+'SEP 19'!X55</f>
        <v>2405509.0999999996</v>
      </c>
      <c r="Y5" s="18">
        <f>+'SEP 19'!Y55</f>
        <v>9664866.7635749988</v>
      </c>
      <c r="Z5" s="18">
        <f>+'SEP 19'!Z55</f>
        <v>9662.5274983807467</v>
      </c>
      <c r="AA5" s="18">
        <f>+'SEP 19'!AA55</f>
        <v>38827.997124768175</v>
      </c>
      <c r="AB5" s="18">
        <f>+'SEP 19'!AB55</f>
        <v>7542.7499999967404</v>
      </c>
      <c r="AC5" s="18">
        <f>+'SEP 19'!AC55</f>
        <v>30309.862027486903</v>
      </c>
      <c r="AD5" s="18">
        <f>+'SEP 19'!AD55</f>
        <v>5155</v>
      </c>
      <c r="AE5" s="18">
        <f>+'SEP 19'!AE55</f>
        <v>20714.903549999999</v>
      </c>
      <c r="AF5" s="18">
        <f>+'SEP 19'!AF55</f>
        <v>7956.8699999451637</v>
      </c>
      <c r="AG5" s="18">
        <f>+'SEP 19'!AG55</f>
        <v>31973.965976479645</v>
      </c>
      <c r="AH5" s="18">
        <f>+'SEP 19'!AH55</f>
        <v>146351.33999999726</v>
      </c>
      <c r="AI5" s="18">
        <f>+'SEP 19'!AI55</f>
        <v>604520.75419258873</v>
      </c>
      <c r="AJ5" s="18">
        <f>+'SEP 19'!AJ55</f>
        <v>675895.70999999822</v>
      </c>
      <c r="AK5" s="18">
        <f>+'SEP 19'!AK55</f>
        <v>2716026.0800210927</v>
      </c>
      <c r="AL5" s="18">
        <f>+'SEP 19'!AL55</f>
        <v>15955097.461765243</v>
      </c>
      <c r="AM5" s="18">
        <f>+'SEP 19'!AM55</f>
        <v>97498211.425815344</v>
      </c>
      <c r="AN5" s="18">
        <f>+'SEP 19'!AN55</f>
        <v>4853701.1557200011</v>
      </c>
      <c r="AO5" s="18">
        <f>+'SEP 19'!AO55</f>
        <v>882384.62845144002</v>
      </c>
      <c r="AP5" s="18">
        <f>+'SEP 19'!AP55</f>
        <v>7620995.5088501452</v>
      </c>
      <c r="AQ5" s="18">
        <f>+'SEP 19'!AQ55</f>
        <v>1923382.9864121631</v>
      </c>
      <c r="AR5" s="18">
        <f>+'SEP 19'!AR55</f>
        <v>33467.106463993005</v>
      </c>
      <c r="AS5" s="18">
        <f>+'SEP 19'!AS55</f>
        <v>6.3419079996137473</v>
      </c>
      <c r="AT5" s="18">
        <f>+'SEP 19'!AT55</f>
        <v>11.326432002509915</v>
      </c>
      <c r="AU5" s="18">
        <f>+'SEP 19'!AU55</f>
        <v>70852.565203997277</v>
      </c>
      <c r="AV5" s="18">
        <f>+'SEP 19'!AV55</f>
        <v>529097.77060280275</v>
      </c>
      <c r="AW5" s="18">
        <f>+'SEP 19'!AW55</f>
        <v>87470.533549996806</v>
      </c>
      <c r="AX5" s="18">
        <f>+'SEP 19'!AX55</f>
        <v>1064.5961240010877</v>
      </c>
      <c r="AY5" s="18">
        <f>+'SEP 19'!AY55</f>
        <v>4373123.2868879996</v>
      </c>
      <c r="AZ5" s="18">
        <f>+'SEP 19'!AZ55</f>
        <v>23756.924137323233</v>
      </c>
      <c r="BA5" s="18">
        <f>+'SEP 19'!BA55</f>
        <v>206576.35472400684</v>
      </c>
      <c r="BB5" s="18">
        <f>+'SEP 19'!BB55</f>
        <v>71536.208219991167</v>
      </c>
      <c r="BC5" s="18">
        <f>+'SEP 19'!BC55</f>
        <v>272887.12084799848</v>
      </c>
      <c r="BD5" s="18">
        <f>+'SEP 19'!BD55</f>
        <v>17435.643599989849</v>
      </c>
      <c r="BE5" s="18">
        <f>+'SEP 19'!BE55</f>
        <v>256626.99715368054</v>
      </c>
      <c r="BF5" s="18">
        <f>+'SEP 19'!BF55</f>
        <v>294827.49323035986</v>
      </c>
      <c r="BG5" s="18">
        <f>+'SEP 19'!BG55</f>
        <v>35110.408018882757</v>
      </c>
      <c r="BH5" s="18">
        <f>+'SEP 19'!BH55</f>
        <v>24605.160800002101</v>
      </c>
      <c r="BI5" s="18">
        <f>+'SEP 19'!BI55</f>
        <v>207727.90101</v>
      </c>
      <c r="BJ5" s="18">
        <f>+'SEP 19'!BJ55</f>
        <v>154010.6032805602</v>
      </c>
      <c r="BK5" s="18">
        <f>+'SEP 19'!BK55</f>
        <v>4885909.5036820117</v>
      </c>
      <c r="BL5" s="18">
        <f>+'SEP 19'!BL55</f>
        <v>115369.20269244607</v>
      </c>
      <c r="BM5" s="18">
        <f>+'SEP 19'!BM55</f>
        <v>1093742.8999671636</v>
      </c>
      <c r="BN5" s="18">
        <f>+'SEP 19'!BN55</f>
        <v>1246166.135877382</v>
      </c>
      <c r="BO5" s="18">
        <f>+'SEP 19'!BO55</f>
        <v>3.4691202304202307E-3</v>
      </c>
      <c r="BP5" s="18">
        <f>+'SEP 19'!BP55</f>
        <v>261.61440932906544</v>
      </c>
      <c r="BQ5" s="18">
        <f>+'SEP 19'!BQ55</f>
        <v>4.0128798844989433E-3</v>
      </c>
      <c r="BR5" s="18">
        <f>+'SEP 19'!BR55</f>
        <v>1508167.7960000036</v>
      </c>
      <c r="BS5" s="18">
        <f>+'SEP 19'!BS55</f>
        <v>5925980.582785489</v>
      </c>
      <c r="BT5" s="18">
        <f>+'SEP 19'!BT55</f>
        <v>70580.134932017885</v>
      </c>
      <c r="BU5" s="18">
        <f>+'SEP 19'!BU55</f>
        <v>286381.4384778887</v>
      </c>
      <c r="BV5" s="18">
        <f>+'SEP 19'!BV55</f>
        <v>9298.8778600000005</v>
      </c>
      <c r="BW5" s="18">
        <f>+'SEP 19'!BW55</f>
        <v>142153.95199999999</v>
      </c>
      <c r="BX5" s="18">
        <f>+'SEP 19'!BX55</f>
        <v>22663.665000000001</v>
      </c>
      <c r="BY5" s="18">
        <f>+'SEP 19'!BY55</f>
        <v>741844.70694000053</v>
      </c>
      <c r="BZ5" s="18">
        <f>+'SEP 19'!BZ55</f>
        <v>2821525.6671399912</v>
      </c>
      <c r="CA5" s="18">
        <f>+'SEP 19'!CA55</f>
        <v>2608059.9615599932</v>
      </c>
      <c r="CB5" s="18">
        <f>+'SEP 19'!CB55</f>
        <v>20118.565999999999</v>
      </c>
      <c r="CC5" s="18">
        <f>+'SEP 19'!CC55</f>
        <v>1113768.19</v>
      </c>
      <c r="CD5" s="18">
        <f>+'SEP 19'!CD55</f>
        <v>0</v>
      </c>
      <c r="CE5" s="18">
        <f>+'SEP 19'!CE55</f>
        <v>12590.141999999994</v>
      </c>
      <c r="CF5" s="18">
        <f>+'SEP 19'!CF55</f>
        <v>545778.58160000003</v>
      </c>
      <c r="CG5" s="18">
        <f>+'SEP 19'!CG55</f>
        <v>410318.25050000002</v>
      </c>
      <c r="CH5" s="18">
        <f>+'SEP 19'!CH55</f>
        <v>2.9318200000000001</v>
      </c>
      <c r="CI5" s="18">
        <f>+'SEP 19'!CI55</f>
        <v>6.4399992115795612E-3</v>
      </c>
      <c r="CJ5" s="18">
        <f>+'SEP 19'!CJ55</f>
        <v>1.039999770000577E-3</v>
      </c>
      <c r="CK5" s="18">
        <f>+'SEP 19'!CK55</f>
        <v>0</v>
      </c>
      <c r="CL5" s="18">
        <f>+'SEP 19'!CL55</f>
        <v>0</v>
      </c>
      <c r="CM5" s="18">
        <f>+'SEP 19'!CM55</f>
        <v>79545.207070000004</v>
      </c>
      <c r="CN5" s="18">
        <f>+'SEP 19'!CN55</f>
        <v>647657.33605000004</v>
      </c>
      <c r="CO5" s="18">
        <f>+'SEP 19'!CO55</f>
        <v>736464.8368199995</v>
      </c>
      <c r="CP5" s="18">
        <f>+'SEP 19'!CP55</f>
        <v>9152723.6727600005</v>
      </c>
      <c r="CQ5" s="18">
        <f>+'SEP 19'!CQ55</f>
        <v>377715.39094000001</v>
      </c>
      <c r="CR5" s="18">
        <f>+'SEP 19'!CR55</f>
        <v>14148.404510000371</v>
      </c>
      <c r="CS5" s="18">
        <f>+'SEP 19'!CS55</f>
        <v>5013.4199999999992</v>
      </c>
      <c r="CT5" s="18">
        <f>+'SEP 19'!CT55</f>
        <v>20149.387893799994</v>
      </c>
      <c r="CU5" s="18">
        <f>+'SEP 19'!CU55</f>
        <v>5013.4199999999992</v>
      </c>
      <c r="CV5" s="18">
        <f>+'SEP 19'!CV55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412969394.68515509</v>
      </c>
    </row>
    <row r="6" spans="1:101" s="20" customFormat="1" x14ac:dyDescent="0.3">
      <c r="A6" s="173"/>
      <c r="B6" s="19"/>
      <c r="C6" s="19" t="s">
        <v>91</v>
      </c>
      <c r="D6" s="19">
        <v>2495.7764600000005</v>
      </c>
      <c r="E6" s="19">
        <v>22504799.281269994</v>
      </c>
      <c r="F6" s="19">
        <v>-52069450.756939992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-6542.9521500000264</v>
      </c>
      <c r="BZ6" s="19">
        <v>-6217146.0500800014</v>
      </c>
      <c r="CA6" s="19">
        <v>-6749371.4323199987</v>
      </c>
      <c r="CB6" s="19">
        <v>0</v>
      </c>
      <c r="CC6" s="19">
        <v>0</v>
      </c>
      <c r="CD6" s="19">
        <v>0</v>
      </c>
      <c r="CE6" s="19">
        <v>-12590.139000000001</v>
      </c>
      <c r="CF6" s="19">
        <v>112.94099999999162</v>
      </c>
      <c r="CG6" s="19">
        <v>0</v>
      </c>
      <c r="CH6" s="19">
        <v>0</v>
      </c>
      <c r="CI6" s="19">
        <v>817360.77099999995</v>
      </c>
      <c r="CJ6" s="19">
        <v>67685.748000000007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461365.69260994514</v>
      </c>
      <c r="E8" s="18">
        <f t="shared" si="0"/>
        <v>34896790.210470796</v>
      </c>
      <c r="F8" s="18">
        <f t="shared" si="0"/>
        <v>-41373418.012275606</v>
      </c>
      <c r="G8" s="18">
        <f t="shared" si="0"/>
        <v>0</v>
      </c>
      <c r="H8" s="18">
        <f t="shared" si="0"/>
        <v>0</v>
      </c>
      <c r="I8" s="18">
        <f t="shared" si="0"/>
        <v>75174.709354578343</v>
      </c>
      <c r="J8" s="18">
        <f t="shared" si="0"/>
        <v>0</v>
      </c>
      <c r="K8" s="18">
        <f t="shared" si="0"/>
        <v>163081.68768414296</v>
      </c>
      <c r="L8" s="18">
        <f t="shared" si="0"/>
        <v>269312.31569285877</v>
      </c>
      <c r="M8" s="18">
        <f t="shared" si="0"/>
        <v>127604.59827148425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4377046.2734668665</v>
      </c>
      <c r="Q8" s="18">
        <f t="shared" si="0"/>
        <v>17041875.146218289</v>
      </c>
      <c r="R8" s="18">
        <f t="shared" si="0"/>
        <v>3243003.6545100003</v>
      </c>
      <c r="S8" s="18">
        <f t="shared" si="0"/>
        <v>13339984.122699326</v>
      </c>
      <c r="T8" s="18">
        <f t="shared" si="0"/>
        <v>56575.250000000007</v>
      </c>
      <c r="U8" s="18">
        <f t="shared" si="0"/>
        <v>227353.77856949999</v>
      </c>
      <c r="V8" s="18">
        <f t="shared" si="0"/>
        <v>44136370.969999991</v>
      </c>
      <c r="W8" s="18">
        <f t="shared" si="0"/>
        <v>176140903.96916798</v>
      </c>
      <c r="X8" s="18">
        <f t="shared" si="0"/>
        <v>2405509.0999999996</v>
      </c>
      <c r="Y8" s="18">
        <f t="shared" si="0"/>
        <v>9664866.7635749988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146351.33999999726</v>
      </c>
      <c r="AI8" s="18">
        <f t="shared" si="0"/>
        <v>604520.75419258873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15955097.461765243</v>
      </c>
      <c r="AM8" s="18">
        <f t="shared" si="0"/>
        <v>97498211.425815344</v>
      </c>
      <c r="AN8" s="18">
        <f t="shared" si="0"/>
        <v>4853701.1557200011</v>
      </c>
      <c r="AO8" s="18">
        <f t="shared" si="0"/>
        <v>882384.62845144002</v>
      </c>
      <c r="AP8" s="18">
        <f t="shared" si="0"/>
        <v>7620995.5088501452</v>
      </c>
      <c r="AQ8" s="18">
        <f t="shared" si="0"/>
        <v>1923382.9864121631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4373123.2868879996</v>
      </c>
      <c r="AZ8" s="18">
        <f t="shared" si="0"/>
        <v>23756.924137323233</v>
      </c>
      <c r="BA8" s="18">
        <f t="shared" si="0"/>
        <v>206576.35472400684</v>
      </c>
      <c r="BB8" s="18">
        <f t="shared" si="0"/>
        <v>71536.208219991167</v>
      </c>
      <c r="BC8" s="18">
        <f t="shared" si="0"/>
        <v>272887.12084799848</v>
      </c>
      <c r="BD8" s="18">
        <f t="shared" si="0"/>
        <v>17435.643599989849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4885909.5036820117</v>
      </c>
      <c r="BL8" s="18">
        <f t="shared" si="0"/>
        <v>115369.20269244607</v>
      </c>
      <c r="BM8" s="18">
        <f t="shared" si="0"/>
        <v>1093742.8999671636</v>
      </c>
      <c r="BN8" s="18">
        <f t="shared" si="0"/>
        <v>1246166.135877382</v>
      </c>
      <c r="BO8" s="18">
        <f t="shared" si="0"/>
        <v>3.4691202304202307E-3</v>
      </c>
      <c r="BP8" s="18">
        <f t="shared" si="0"/>
        <v>261.61440932906544</v>
      </c>
      <c r="BQ8" s="18">
        <f t="shared" si="0"/>
        <v>4.0128798844989433E-3</v>
      </c>
      <c r="BR8" s="18">
        <f t="shared" si="0"/>
        <v>1508167.7960000036</v>
      </c>
      <c r="BS8" s="18">
        <f t="shared" si="0"/>
        <v>5925980.582785489</v>
      </c>
      <c r="BT8" s="18">
        <f t="shared" ref="BT8:CV8" si="1">BT5+BT6+BT7</f>
        <v>70580.134932017885</v>
      </c>
      <c r="BU8" s="18">
        <f t="shared" si="1"/>
        <v>286381.4384778887</v>
      </c>
      <c r="BV8" s="18">
        <f t="shared" si="1"/>
        <v>9298.8778600000005</v>
      </c>
      <c r="BW8" s="18">
        <f t="shared" si="1"/>
        <v>142153.95199999999</v>
      </c>
      <c r="BX8" s="18">
        <f t="shared" si="1"/>
        <v>22663.665000000001</v>
      </c>
      <c r="BY8" s="18">
        <f>+BY5+BY6+BY7:BZ7</f>
        <v>735301.7547900005</v>
      </c>
      <c r="BZ8" s="18">
        <f t="shared" si="1"/>
        <v>-3395620.3829400102</v>
      </c>
      <c r="CA8" s="18">
        <f t="shared" si="1"/>
        <v>-4141311.4707600055</v>
      </c>
      <c r="CB8" s="18">
        <f t="shared" si="1"/>
        <v>20118.565999999999</v>
      </c>
      <c r="CC8" s="18">
        <f t="shared" si="1"/>
        <v>1113768.19</v>
      </c>
      <c r="CD8" s="18">
        <f t="shared" si="1"/>
        <v>0</v>
      </c>
      <c r="CE8" s="18">
        <f t="shared" si="1"/>
        <v>2.9999999933352228E-3</v>
      </c>
      <c r="CF8" s="18">
        <f t="shared" si="1"/>
        <v>545891.52260000003</v>
      </c>
      <c r="CG8" s="18">
        <f t="shared" si="1"/>
        <v>410318.25050000002</v>
      </c>
      <c r="CH8" s="18">
        <f t="shared" si="1"/>
        <v>2.9318200000000001</v>
      </c>
      <c r="CI8" s="18">
        <f t="shared" si="1"/>
        <v>817360.77743999916</v>
      </c>
      <c r="CJ8" s="18">
        <f t="shared" si="1"/>
        <v>67685.749039999777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14148.404510000371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371306747.8723951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v>149268.24</v>
      </c>
      <c r="M11" s="26"/>
      <c r="N11" s="26"/>
      <c r="O11" s="26"/>
      <c r="P11" s="28">
        <v>4130000</v>
      </c>
      <c r="Q11" s="26">
        <f>+(P11*3891.19)/1000</f>
        <v>16070614.699999999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16219882.939999999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>
        <v>-40000000</v>
      </c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-40000000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>
        <v>-1008626.66666</v>
      </c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-1008626.66666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>
        <v>-99158280</v>
      </c>
      <c r="M20" s="29">
        <v>-59494968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-158653248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-85088505.121999994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-85088505.121999994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0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>
        <v>234317816.95899999</v>
      </c>
      <c r="M24" s="29">
        <v>102609608.15899999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336927425.11799997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/>
      <c r="E27" s="29"/>
      <c r="F27" s="29"/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4200000</v>
      </c>
      <c r="CA27" s="26">
        <v>7000000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11200000</v>
      </c>
    </row>
    <row r="28" spans="1:101" x14ac:dyDescent="0.3">
      <c r="A28" s="166"/>
      <c r="B28" s="24" t="s">
        <v>97</v>
      </c>
      <c r="C28" s="25" t="s">
        <v>115</v>
      </c>
      <c r="D28" s="26">
        <v>-8000</v>
      </c>
      <c r="E28" s="26">
        <f>-9007000</f>
        <v>-9007000</v>
      </c>
      <c r="F28" s="26"/>
      <c r="G28" s="26"/>
      <c r="H28" s="26"/>
      <c r="I28" s="26"/>
      <c r="J28" s="26"/>
      <c r="K28" s="26"/>
      <c r="L28" s="27">
        <v>-9100000</v>
      </c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-18115000</v>
      </c>
    </row>
    <row r="29" spans="1:101" x14ac:dyDescent="0.3">
      <c r="A29" s="166"/>
      <c r="B29" s="24"/>
      <c r="C29" s="25" t="s">
        <v>116</v>
      </c>
      <c r="D29" s="26"/>
      <c r="E29" s="29"/>
      <c r="F29" s="29">
        <v>42802000</v>
      </c>
      <c r="G29" s="26"/>
      <c r="H29" s="26"/>
      <c r="I29" s="29"/>
      <c r="J29" s="26"/>
      <c r="K29" s="26"/>
      <c r="L29" s="29"/>
      <c r="M29" s="29">
        <v>-42802000</v>
      </c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2850000+1890000+460000</f>
        <v>5200000</v>
      </c>
      <c r="W35" s="38">
        <f>+(V35*3891.19)/1000</f>
        <v>20234188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20234188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/>
      <c r="M38" s="39"/>
      <c r="N38" s="38"/>
      <c r="O38" s="38"/>
      <c r="P38" s="38">
        <v>-413492.79</v>
      </c>
      <c r="Q38" s="38">
        <f>+(P38*3891.19)/1000</f>
        <v>-1608979.0095201</v>
      </c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-1608979.0095201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>
        <f>-35240.429-8.832</f>
        <v>-35249.260999999999</v>
      </c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-35249.260999999999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>
        <v>95548.793000000005</v>
      </c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95548.793000000005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-2.9220000000000002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-2.5510000000000002</v>
      </c>
      <c r="BB50" s="49">
        <v>-0.88300000000000001</v>
      </c>
      <c r="BC50" s="49">
        <f>-3.37-0.01</f>
        <v>-3.38</v>
      </c>
      <c r="BD50" s="49">
        <v>-0.215</v>
      </c>
      <c r="BE50" s="49"/>
      <c r="BF50" s="49"/>
      <c r="BG50" s="49"/>
      <c r="BH50" s="49"/>
      <c r="BI50" s="49"/>
      <c r="BJ50" s="49"/>
      <c r="BK50" s="49"/>
      <c r="BL50" s="49">
        <v>-4.4820000000000002</v>
      </c>
      <c r="BM50" s="49">
        <v>-42.491999999999997</v>
      </c>
      <c r="BN50" s="49">
        <v>-48.414000000000001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-105.339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-2583.078</v>
      </c>
      <c r="F51" s="49">
        <v>-294.14999999999998</v>
      </c>
      <c r="G51" s="49"/>
      <c r="H51" s="49"/>
      <c r="I51" s="49"/>
      <c r="J51" s="49"/>
      <c r="K51" s="48"/>
      <c r="L51" s="48">
        <f>-1087.44934+0.01</f>
        <v>-1087.4393399999999</v>
      </c>
      <c r="M51" s="48">
        <f>-157.009+0.01</f>
        <v>-156.999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-4121.6663399999998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41.729129999999998</v>
      </c>
      <c r="J52" s="49"/>
      <c r="K52" s="49"/>
      <c r="L52" s="48"/>
      <c r="M52" s="48"/>
      <c r="N52" s="49"/>
      <c r="O52" s="49"/>
      <c r="P52" s="49"/>
      <c r="Q52" s="49"/>
      <c r="R52" s="49">
        <v>673.71</v>
      </c>
      <c r="S52" s="49">
        <f>+(R52*3891.19)/1000</f>
        <v>2621.5336149000004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f>36.441+0.01</f>
        <v>36.451000000000001</v>
      </c>
      <c r="BB52" s="49">
        <v>12.619</v>
      </c>
      <c r="BC52" s="49">
        <v>48.139000000000003</v>
      </c>
      <c r="BD52" s="49">
        <v>3.0760000000000001</v>
      </c>
      <c r="BE52" s="49"/>
      <c r="BF52" s="49"/>
      <c r="BG52" s="49"/>
      <c r="BH52" s="49"/>
      <c r="BI52" s="49"/>
      <c r="BJ52" s="49"/>
      <c r="BK52" s="49"/>
      <c r="BL52" s="49">
        <v>64.029929999999993</v>
      </c>
      <c r="BM52" s="49">
        <v>607.02764000000002</v>
      </c>
      <c r="BN52" s="49">
        <v>691.62257999999997</v>
      </c>
      <c r="BO52" s="49"/>
      <c r="BP52" s="49">
        <f>145.2/1000</f>
        <v>0.1452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4126.373094900001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-10.332312</v>
      </c>
      <c r="F53" s="49">
        <f>(F10+F13+F16+F17+F33+F38+F47+F35)*4/1000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-164038.856424</v>
      </c>
      <c r="M53" s="48">
        <f>(M10+M13+M17+M33+M38+M40+M51+M36+M49+M16)*4/1000</f>
        <v>-0.627996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-140.99704399999999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-164190.813776</v>
      </c>
    </row>
    <row r="54" spans="1:101" x14ac:dyDescent="0.3">
      <c r="C54" s="50" t="s">
        <v>141</v>
      </c>
      <c r="D54" s="51">
        <f t="shared" ref="D54:AM54" si="6">SUM(D9:D53)</f>
        <v>-8000</v>
      </c>
      <c r="E54" s="51">
        <f t="shared" si="6"/>
        <v>-9009593.4103120007</v>
      </c>
      <c r="F54" s="51">
        <f>SUM(F9:F53)</f>
        <v>42801705.850000001</v>
      </c>
      <c r="G54" s="51">
        <f t="shared" si="6"/>
        <v>0</v>
      </c>
      <c r="H54" s="51">
        <f t="shared" si="6"/>
        <v>0</v>
      </c>
      <c r="I54" s="51">
        <f t="shared" si="6"/>
        <v>38.807130000000001</v>
      </c>
      <c r="J54" s="51">
        <f t="shared" si="6"/>
        <v>0</v>
      </c>
      <c r="K54" s="51">
        <f t="shared" si="6"/>
        <v>0</v>
      </c>
      <c r="L54" s="52">
        <f>SUM(L9:L53)</f>
        <v>-53452.885423988875</v>
      </c>
      <c r="M54" s="51">
        <f t="shared" si="6"/>
        <v>312482.53200399439</v>
      </c>
      <c r="N54" s="51">
        <f t="shared" si="6"/>
        <v>0</v>
      </c>
      <c r="O54" s="51">
        <f t="shared" si="6"/>
        <v>0</v>
      </c>
      <c r="P54" s="51">
        <f t="shared" si="6"/>
        <v>3716507.21</v>
      </c>
      <c r="Q54" s="51">
        <f t="shared" si="6"/>
        <v>14461635.690479899</v>
      </c>
      <c r="R54" s="51">
        <f t="shared" si="6"/>
        <v>673.71</v>
      </c>
      <c r="S54" s="51">
        <f t="shared" si="6"/>
        <v>2621.5336149000004</v>
      </c>
      <c r="T54" s="51">
        <f t="shared" si="6"/>
        <v>0</v>
      </c>
      <c r="U54" s="51">
        <f t="shared" si="6"/>
        <v>0</v>
      </c>
      <c r="V54" s="51">
        <f t="shared" si="6"/>
        <v>5200000</v>
      </c>
      <c r="W54" s="51">
        <f t="shared" si="6"/>
        <v>20234188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-35390.258044000002</v>
      </c>
      <c r="AX54" s="51">
        <f t="shared" si="7"/>
        <v>0</v>
      </c>
      <c r="AY54" s="51">
        <f t="shared" si="7"/>
        <v>95548.793000000005</v>
      </c>
      <c r="AZ54" s="51">
        <f t="shared" si="7"/>
        <v>0</v>
      </c>
      <c r="BA54" s="51">
        <f t="shared" si="7"/>
        <v>33.9</v>
      </c>
      <c r="BB54" s="51">
        <f t="shared" si="7"/>
        <v>11.736000000000001</v>
      </c>
      <c r="BC54" s="51">
        <f t="shared" si="7"/>
        <v>44.759</v>
      </c>
      <c r="BD54" s="51">
        <f t="shared" si="7"/>
        <v>2.8610000000000002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59.547929999999994</v>
      </c>
      <c r="BM54" s="51">
        <f t="shared" si="7"/>
        <v>564.53564000000006</v>
      </c>
      <c r="BN54" s="51">
        <f t="shared" si="7"/>
        <v>643.20857999999998</v>
      </c>
      <c r="BO54" s="51">
        <f t="shared" si="7"/>
        <v>0</v>
      </c>
      <c r="BP54" s="51">
        <f t="shared" si="7"/>
        <v>0.1452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4200000</v>
      </c>
      <c r="CA54" s="51">
        <f t="shared" si="7"/>
        <v>7000000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80003145.345798805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453365.69260994514</v>
      </c>
      <c r="E55" s="56">
        <f t="shared" si="8"/>
        <v>25887196.800158795</v>
      </c>
      <c r="F55" s="56">
        <f>+F8+F54</f>
        <v>1428287.8377243951</v>
      </c>
      <c r="G55" s="56">
        <f t="shared" si="8"/>
        <v>0</v>
      </c>
      <c r="H55" s="56">
        <f t="shared" si="8"/>
        <v>0</v>
      </c>
      <c r="I55" s="56">
        <f t="shared" si="8"/>
        <v>75213.516484578344</v>
      </c>
      <c r="J55" s="56">
        <f t="shared" si="8"/>
        <v>0</v>
      </c>
      <c r="K55" s="56">
        <f t="shared" si="8"/>
        <v>163081.68768414296</v>
      </c>
      <c r="L55" s="56">
        <f t="shared" si="8"/>
        <v>215859.43026886991</v>
      </c>
      <c r="M55" s="56">
        <f t="shared" si="8"/>
        <v>440087.13027547864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8093553.4834668664</v>
      </c>
      <c r="Q55" s="56">
        <f t="shared" si="8"/>
        <v>31503510.836698189</v>
      </c>
      <c r="R55" s="56">
        <f t="shared" si="8"/>
        <v>3243677.3645100002</v>
      </c>
      <c r="S55" s="56">
        <f t="shared" si="8"/>
        <v>13342605.656314226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49336370.969999991</v>
      </c>
      <c r="W55" s="56">
        <f t="shared" si="8"/>
        <v>196375091.96916798</v>
      </c>
      <c r="X55" s="56">
        <f t="shared" si="8"/>
        <v>2405509.0999999996</v>
      </c>
      <c r="Y55" s="56">
        <f t="shared" si="8"/>
        <v>9664866.7635749988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146351.33999999726</v>
      </c>
      <c r="AI55" s="56">
        <f t="shared" si="8"/>
        <v>604520.75419258873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15955097.461765243</v>
      </c>
      <c r="AM55" s="56">
        <f t="shared" si="8"/>
        <v>97498211.425815344</v>
      </c>
      <c r="AN55" s="56">
        <f t="shared" si="8"/>
        <v>4853701.1557200011</v>
      </c>
      <c r="AO55" s="56">
        <f t="shared" si="8"/>
        <v>882384.62845144002</v>
      </c>
      <c r="AP55" s="56">
        <f t="shared" si="8"/>
        <v>7620995.5088501452</v>
      </c>
      <c r="AQ55" s="56">
        <f t="shared" si="8"/>
        <v>1923382.9864121631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52080.275505996804</v>
      </c>
      <c r="AX55" s="56">
        <f t="shared" si="8"/>
        <v>1064.5961240010877</v>
      </c>
      <c r="AY55" s="56">
        <f t="shared" si="8"/>
        <v>4468672.0798879992</v>
      </c>
      <c r="AZ55" s="56">
        <f t="shared" si="8"/>
        <v>23756.924137323233</v>
      </c>
      <c r="BA55" s="56">
        <f t="shared" si="8"/>
        <v>206610.25472400684</v>
      </c>
      <c r="BB55" s="56">
        <f t="shared" si="8"/>
        <v>71547.944219991172</v>
      </c>
      <c r="BC55" s="56">
        <f t="shared" si="8"/>
        <v>272931.8798479985</v>
      </c>
      <c r="BD55" s="56">
        <f t="shared" si="8"/>
        <v>17438.50459998985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4885909.5036820117</v>
      </c>
      <c r="BL55" s="56">
        <f t="shared" si="8"/>
        <v>115428.75062244607</v>
      </c>
      <c r="BM55" s="56">
        <f t="shared" si="8"/>
        <v>1094307.4356071635</v>
      </c>
      <c r="BN55" s="56">
        <f t="shared" si="8"/>
        <v>1246809.3444573821</v>
      </c>
      <c r="BO55" s="56">
        <f t="shared" si="8"/>
        <v>3.4691202304202307E-3</v>
      </c>
      <c r="BP55" s="56">
        <f t="shared" si="8"/>
        <v>261.75960932906543</v>
      </c>
      <c r="BQ55" s="56">
        <f t="shared" si="8"/>
        <v>4.0128798844989433E-3</v>
      </c>
      <c r="BR55" s="56">
        <f t="shared" si="8"/>
        <v>1508167.7960000036</v>
      </c>
      <c r="BS55" s="56">
        <f t="shared" si="8"/>
        <v>5925980.582785489</v>
      </c>
      <c r="BT55" s="56">
        <f t="shared" ref="BT55:CV55" si="9">+BT8+BT54</f>
        <v>70580.134932017885</v>
      </c>
      <c r="BU55" s="56">
        <f t="shared" si="9"/>
        <v>286381.4384778887</v>
      </c>
      <c r="BV55" s="56">
        <f t="shared" si="9"/>
        <v>9298.8778600000005</v>
      </c>
      <c r="BW55" s="56">
        <f t="shared" si="9"/>
        <v>142153.95199999999</v>
      </c>
      <c r="BX55" s="56">
        <f t="shared" si="9"/>
        <v>22663.665000000001</v>
      </c>
      <c r="BY55" s="56">
        <f t="shared" si="9"/>
        <v>735301.7547900005</v>
      </c>
      <c r="BZ55" s="56">
        <f t="shared" si="9"/>
        <v>804379.61705998983</v>
      </c>
      <c r="CA55" s="56">
        <f t="shared" si="9"/>
        <v>2858688.5292399945</v>
      </c>
      <c r="CB55" s="56">
        <f t="shared" si="9"/>
        <v>20118.565999999999</v>
      </c>
      <c r="CC55" s="56">
        <f t="shared" si="9"/>
        <v>1113768.19</v>
      </c>
      <c r="CD55" s="56">
        <f t="shared" si="9"/>
        <v>0</v>
      </c>
      <c r="CE55" s="56">
        <f t="shared" si="9"/>
        <v>2.9999999933352228E-3</v>
      </c>
      <c r="CF55" s="56">
        <f t="shared" si="9"/>
        <v>545891.52260000003</v>
      </c>
      <c r="CG55" s="56">
        <f t="shared" si="9"/>
        <v>410318.25050000002</v>
      </c>
      <c r="CH55" s="56">
        <f t="shared" si="9"/>
        <v>2.9318200000000001</v>
      </c>
      <c r="CI55" s="56">
        <f t="shared" si="9"/>
        <v>817360.77743999916</v>
      </c>
      <c r="CJ55" s="56">
        <f t="shared" si="9"/>
        <v>67685.749039999777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14148.404510000371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451309893.21819407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AY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67"/>
      <c r="O57" s="67"/>
      <c r="P57" s="151"/>
      <c r="Q57" s="71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AY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O58" s="67"/>
      <c r="P58" s="152"/>
      <c r="Q58" s="71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N59" s="71"/>
      <c r="O59" s="67"/>
      <c r="P59" s="152"/>
      <c r="Q59" s="71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364347308.05799997</v>
      </c>
      <c r="E60" s="71"/>
      <c r="F60" s="84" t="s">
        <v>49</v>
      </c>
      <c r="G60" s="84" t="s">
        <v>149</v>
      </c>
      <c r="H60" s="85"/>
      <c r="I60" s="86"/>
      <c r="J60" s="57"/>
      <c r="N60" s="71"/>
      <c r="O60" s="67"/>
      <c r="P60" s="152"/>
      <c r="Q60" s="71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0</v>
      </c>
      <c r="E61" s="67"/>
      <c r="F61" s="89" t="s">
        <v>151</v>
      </c>
      <c r="G61" s="90">
        <f>N55</f>
        <v>120822.5199999999</v>
      </c>
      <c r="H61" s="85"/>
      <c r="I61" s="86"/>
      <c r="J61" s="57"/>
      <c r="N61" s="67"/>
      <c r="O61" s="67"/>
      <c r="P61" s="152"/>
      <c r="Q61" s="71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59"/>
      <c r="BY61" s="59"/>
      <c r="BZ61" s="57"/>
      <c r="CA61" s="59"/>
      <c r="CD61" s="59"/>
    </row>
    <row r="62" spans="1:101" x14ac:dyDescent="0.3">
      <c r="B62" s="165"/>
      <c r="C62" s="87" t="s">
        <v>152</v>
      </c>
      <c r="D62" s="88">
        <f>CW11+CW15</f>
        <v>16219882.939999999</v>
      </c>
      <c r="E62" s="67">
        <v>-16070614.699999999</v>
      </c>
      <c r="F62" s="89" t="s">
        <v>153</v>
      </c>
      <c r="G62" s="91">
        <f>P55</f>
        <v>8093553.4834668664</v>
      </c>
      <c r="H62" s="92"/>
      <c r="I62" s="86"/>
      <c r="J62" s="66"/>
      <c r="N62" s="67"/>
      <c r="O62" s="67"/>
      <c r="P62" s="152"/>
      <c r="Q62" s="71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11200000</v>
      </c>
      <c r="E63" s="67" t="s">
        <v>205</v>
      </c>
      <c r="F63" s="89" t="s">
        <v>155</v>
      </c>
      <c r="G63" s="91">
        <f>R55</f>
        <v>3243677.3645100002</v>
      </c>
      <c r="H63" s="93"/>
      <c r="I63" s="94"/>
      <c r="J63" s="57"/>
      <c r="N63" s="153"/>
      <c r="O63" s="153"/>
      <c r="P63" s="151"/>
      <c r="Q63" s="71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336927425.11799997</v>
      </c>
      <c r="E64" s="67" t="s">
        <v>205</v>
      </c>
      <c r="H64" s="57"/>
      <c r="I64" s="77"/>
      <c r="J64" s="66"/>
      <c r="N64" s="153"/>
      <c r="O64" s="153"/>
      <c r="P64" s="152"/>
      <c r="Q64" s="71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153"/>
      <c r="O65" s="153"/>
      <c r="P65" s="152"/>
      <c r="Q65" s="71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152"/>
      <c r="Q66" s="71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71"/>
      <c r="Q67" s="71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49336370.969999991</v>
      </c>
      <c r="H68" s="57"/>
      <c r="I68" s="98"/>
      <c r="J68" s="108"/>
      <c r="M68" s="101"/>
      <c r="N68" s="101"/>
      <c r="O68" s="69"/>
      <c r="P68" s="6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2405509.0999999996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-304474358.7981801</v>
      </c>
      <c r="E73" s="71"/>
      <c r="F73" s="114" t="s">
        <v>163</v>
      </c>
      <c r="G73" s="115">
        <f>L55*1000</f>
        <v>215859430.26886991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-1008626.66666</v>
      </c>
      <c r="E74" s="71" t="s">
        <v>205</v>
      </c>
      <c r="F74" s="114" t="s">
        <v>165</v>
      </c>
      <c r="G74" s="115">
        <f>M55*1000</f>
        <v>440087130.27547866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-158653248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-125088505.12199999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-18115000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-1608979.0095201</v>
      </c>
      <c r="E81" s="101" t="s">
        <v>205</v>
      </c>
      <c r="F81" s="128" t="s">
        <v>172</v>
      </c>
      <c r="G81" s="126">
        <f>AH55</f>
        <v>146351.33999999726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206576.35472400684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36.451000000000001</v>
      </c>
      <c r="L92" s="143">
        <f>BA50+BA51+BA53+BA40+BA42+BA43+BA45</f>
        <v>-2.5510000000000002</v>
      </c>
      <c r="M92" s="144">
        <f t="shared" si="10"/>
        <v>206610.25472400684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-140.99704399999999</v>
      </c>
      <c r="M94" s="144">
        <f t="shared" si="10"/>
        <v>87329.536505996803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272887.12084799848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48.139000000000003</v>
      </c>
      <c r="L98" s="143">
        <f>BC50+BC51+BC53+BC40+BC42+BC43+BC45</f>
        <v>-3.38</v>
      </c>
      <c r="M98" s="144">
        <f t="shared" si="10"/>
        <v>272931.8798479985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71536.208219991167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12.619</v>
      </c>
      <c r="L99" s="143">
        <f>BB50+BB51+BB53+BB40+BB42+BB43+BB45</f>
        <v>-0.88300000000000001</v>
      </c>
      <c r="M99" s="144">
        <f t="shared" si="10"/>
        <v>71547.944219991172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17435.643599989849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3.0760000000000001</v>
      </c>
      <c r="L104" s="143">
        <f>BD50+BD51+BD53+BD40+BD42+BD43+BD45</f>
        <v>-0.215</v>
      </c>
      <c r="M104" s="144">
        <f t="shared" si="10"/>
        <v>17438.50459998985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4373123.2868879996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95548.793000000005</v>
      </c>
      <c r="L106" s="143">
        <f>AY50+AY51+AY53+AY40+AY42+AY43+AY45</f>
        <v>0</v>
      </c>
      <c r="M106" s="144">
        <f t="shared" si="10"/>
        <v>4468672.0798879992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608746.15269167931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36.451000000000001</v>
      </c>
      <c r="L108" s="98">
        <f t="shared" si="11"/>
        <v>-143.54804399999998</v>
      </c>
      <c r="M108" s="98">
        <f t="shared" si="11"/>
        <v>608639.05564767926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848060.98777235276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60.758000000000003</v>
      </c>
      <c r="L109" s="98">
        <f t="shared" si="12"/>
        <v>-4.2629999999999999</v>
      </c>
      <c r="M109" s="98">
        <f t="shared" si="12"/>
        <v>848117.48277235276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4650532.5069914293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95551.869000000006</v>
      </c>
      <c r="L110" s="98">
        <f t="shared" si="13"/>
        <v>-0.215</v>
      </c>
      <c r="M110" s="98">
        <f t="shared" si="13"/>
        <v>4746084.1609914294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  <mergeCell ref="A9:A29"/>
    <mergeCell ref="D1:BK1"/>
    <mergeCell ref="BL1:BN1"/>
    <mergeCell ref="BR1:CJ1"/>
    <mergeCell ref="CW2:CW4"/>
    <mergeCell ref="A5:A8"/>
  </mergeCells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7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+'SEP 22'!D55</f>
        <v>453365.69260994514</v>
      </c>
      <c r="E5" s="18">
        <f>+'SEP 22'!E55</f>
        <v>25887196.800158795</v>
      </c>
      <c r="F5" s="18">
        <f>+'SEP 22'!F55</f>
        <v>1428287.8377243951</v>
      </c>
      <c r="G5" s="18">
        <f>+'SEP 22'!G55</f>
        <v>0</v>
      </c>
      <c r="H5" s="18">
        <f>+'SEP 22'!H55</f>
        <v>0</v>
      </c>
      <c r="I5" s="18">
        <f>+'SEP 22'!I55</f>
        <v>75213.516484578344</v>
      </c>
      <c r="J5" s="18">
        <f>+'SEP 22'!J55</f>
        <v>0</v>
      </c>
      <c r="K5" s="18">
        <f>+'SEP 22'!K55</f>
        <v>163081.68768414296</v>
      </c>
      <c r="L5" s="18">
        <f>+'SEP 22'!L55</f>
        <v>215859.43026886991</v>
      </c>
      <c r="M5" s="18">
        <f>+'SEP 22'!M55</f>
        <v>440087.13027547864</v>
      </c>
      <c r="N5" s="18">
        <f>+'SEP 22'!N55</f>
        <v>120822.5199999999</v>
      </c>
      <c r="O5" s="18">
        <f>+'SEP 22'!O55</f>
        <v>485514.42259319959</v>
      </c>
      <c r="P5" s="18">
        <f>+'SEP 22'!P55</f>
        <v>8093553.4834668664</v>
      </c>
      <c r="Q5" s="18">
        <f>+'SEP 22'!Q55</f>
        <v>31503510.836698189</v>
      </c>
      <c r="R5" s="18">
        <f>+'SEP 22'!R55</f>
        <v>3243677.3645100002</v>
      </c>
      <c r="S5" s="18">
        <f>+'SEP 22'!S55</f>
        <v>13342605.656314226</v>
      </c>
      <c r="T5" s="18">
        <f>+'SEP 22'!T55</f>
        <v>56575.250000000007</v>
      </c>
      <c r="U5" s="18">
        <f>+'SEP 22'!U55</f>
        <v>227353.77856949999</v>
      </c>
      <c r="V5" s="18">
        <f>+'SEP 22'!V55</f>
        <v>49336370.969999991</v>
      </c>
      <c r="W5" s="18">
        <f>+'SEP 22'!W55</f>
        <v>196375091.96916798</v>
      </c>
      <c r="X5" s="18">
        <f>+'SEP 22'!X55</f>
        <v>2405509.0999999996</v>
      </c>
      <c r="Y5" s="18">
        <f>+'SEP 22'!Y55</f>
        <v>9664866.7635749988</v>
      </c>
      <c r="Z5" s="18">
        <f>+'SEP 22'!Z55</f>
        <v>9662.5274983807467</v>
      </c>
      <c r="AA5" s="18">
        <f>+'SEP 22'!AA55</f>
        <v>38827.997124768175</v>
      </c>
      <c r="AB5" s="18">
        <f>+'SEP 22'!AB55</f>
        <v>7542.7499999967404</v>
      </c>
      <c r="AC5" s="18">
        <f>+'SEP 22'!AC55</f>
        <v>30309.862027486903</v>
      </c>
      <c r="AD5" s="18">
        <f>+'SEP 22'!AD55</f>
        <v>5155</v>
      </c>
      <c r="AE5" s="18">
        <f>+'SEP 22'!AE55</f>
        <v>20714.903549999999</v>
      </c>
      <c r="AF5" s="18">
        <f>+'SEP 22'!AF55</f>
        <v>7956.8699999451637</v>
      </c>
      <c r="AG5" s="18">
        <f>+'SEP 22'!AG55</f>
        <v>31973.965976479645</v>
      </c>
      <c r="AH5" s="18">
        <f>+'SEP 22'!AH55</f>
        <v>146351.33999999726</v>
      </c>
      <c r="AI5" s="18">
        <f>+'SEP 22'!AI55</f>
        <v>604520.75419258873</v>
      </c>
      <c r="AJ5" s="18">
        <f>+'SEP 22'!AJ55</f>
        <v>675895.70999999822</v>
      </c>
      <c r="AK5" s="18">
        <f>+'SEP 22'!AK55</f>
        <v>2716026.0800210927</v>
      </c>
      <c r="AL5" s="18">
        <f>+'SEP 22'!AL55</f>
        <v>15955097.461765243</v>
      </c>
      <c r="AM5" s="18">
        <f>+'SEP 22'!AM55</f>
        <v>97498211.425815344</v>
      </c>
      <c r="AN5" s="18">
        <f>+'SEP 22'!AN55</f>
        <v>4853701.1557200011</v>
      </c>
      <c r="AO5" s="18">
        <f>+'SEP 22'!AO55</f>
        <v>882384.62845144002</v>
      </c>
      <c r="AP5" s="18">
        <f>+'SEP 22'!AP55</f>
        <v>7620995.5088501452</v>
      </c>
      <c r="AQ5" s="18">
        <f>+'SEP 22'!AQ55</f>
        <v>1923382.9864121631</v>
      </c>
      <c r="AR5" s="18">
        <f>+'SEP 22'!AR55</f>
        <v>33467.106463993005</v>
      </c>
      <c r="AS5" s="18">
        <f>+'SEP 22'!AS55</f>
        <v>6.3419079996137473</v>
      </c>
      <c r="AT5" s="18">
        <f>+'SEP 22'!AT55</f>
        <v>11.326432002509915</v>
      </c>
      <c r="AU5" s="18">
        <f>+'SEP 22'!AU55</f>
        <v>70852.565203997277</v>
      </c>
      <c r="AV5" s="18">
        <f>+'SEP 22'!AV55</f>
        <v>529097.77060280275</v>
      </c>
      <c r="AW5" s="18">
        <f>+'SEP 22'!AW55</f>
        <v>52080.275505996804</v>
      </c>
      <c r="AX5" s="18">
        <f>+'SEP 22'!AX55</f>
        <v>1064.5961240010877</v>
      </c>
      <c r="AY5" s="18">
        <f>+'SEP 22'!AY55</f>
        <v>4468672.0798879992</v>
      </c>
      <c r="AZ5" s="18">
        <f>+'SEP 22'!AZ55</f>
        <v>23756.924137323233</v>
      </c>
      <c r="BA5" s="18">
        <f>+'SEP 22'!BA55</f>
        <v>206610.25472400684</v>
      </c>
      <c r="BB5" s="18">
        <f>+'SEP 22'!BB55</f>
        <v>71547.944219991172</v>
      </c>
      <c r="BC5" s="18">
        <f>+'SEP 22'!BC55</f>
        <v>272931.8798479985</v>
      </c>
      <c r="BD5" s="18">
        <f>+'SEP 22'!BD55</f>
        <v>17438.50459998985</v>
      </c>
      <c r="BE5" s="18">
        <f>+'SEP 22'!BE55</f>
        <v>256626.99715368054</v>
      </c>
      <c r="BF5" s="18">
        <f>+'SEP 22'!BF55</f>
        <v>294827.49323035986</v>
      </c>
      <c r="BG5" s="18">
        <f>+'SEP 22'!BG55</f>
        <v>35110.408018882757</v>
      </c>
      <c r="BH5" s="18">
        <f>+'SEP 22'!BH55</f>
        <v>24605.160800002101</v>
      </c>
      <c r="BI5" s="18">
        <f>+'SEP 22'!BI55</f>
        <v>207727.90101</v>
      </c>
      <c r="BJ5" s="18">
        <f>+'SEP 22'!BJ55</f>
        <v>154010.6032805602</v>
      </c>
      <c r="BK5" s="18">
        <f>+'SEP 22'!BK55</f>
        <v>4885909.5036820117</v>
      </c>
      <c r="BL5" s="18">
        <f>+'SEP 22'!BL55</f>
        <v>115428.75062244607</v>
      </c>
      <c r="BM5" s="18">
        <f>+'SEP 22'!BM55</f>
        <v>1094307.4356071635</v>
      </c>
      <c r="BN5" s="18">
        <f>+'SEP 22'!BN55</f>
        <v>1246809.3444573821</v>
      </c>
      <c r="BO5" s="18">
        <f>+'SEP 22'!BO55</f>
        <v>3.4691202304202307E-3</v>
      </c>
      <c r="BP5" s="18">
        <f>+'SEP 22'!BP55</f>
        <v>261.75960932906543</v>
      </c>
      <c r="BQ5" s="18">
        <f>+'SEP 22'!BQ55</f>
        <v>4.0128798844989433E-3</v>
      </c>
      <c r="BR5" s="18">
        <f>+'SEP 22'!BR55</f>
        <v>1508167.7960000036</v>
      </c>
      <c r="BS5" s="18">
        <f>+'SEP 22'!BS55</f>
        <v>5925980.582785489</v>
      </c>
      <c r="BT5" s="18">
        <f>+'SEP 22'!BT55</f>
        <v>70580.134932017885</v>
      </c>
      <c r="BU5" s="18">
        <f>+'SEP 22'!BU55</f>
        <v>286381.4384778887</v>
      </c>
      <c r="BV5" s="18">
        <f>+'SEP 22'!BV55</f>
        <v>9298.8778600000005</v>
      </c>
      <c r="BW5" s="18">
        <f>+'SEP 22'!BW55</f>
        <v>142153.95199999999</v>
      </c>
      <c r="BX5" s="18">
        <f>+'SEP 22'!BX55</f>
        <v>22663.665000000001</v>
      </c>
      <c r="BY5" s="18">
        <f>+'SEP 22'!BY55</f>
        <v>735301.7547900005</v>
      </c>
      <c r="BZ5" s="18">
        <f>+'SEP 22'!BZ55</f>
        <v>804379.61705998983</v>
      </c>
      <c r="CA5" s="18">
        <f>+'SEP 22'!CA55</f>
        <v>2858688.5292399945</v>
      </c>
      <c r="CB5" s="18">
        <f>+'SEP 22'!CB55</f>
        <v>20118.565999999999</v>
      </c>
      <c r="CC5" s="18">
        <f>+'SEP 22'!CC55</f>
        <v>1113768.19</v>
      </c>
      <c r="CD5" s="18">
        <f>+'SEP 22'!CD55</f>
        <v>0</v>
      </c>
      <c r="CE5" s="18">
        <f>+'SEP 22'!CE55</f>
        <v>2.9999999933352228E-3</v>
      </c>
      <c r="CF5" s="18">
        <f>+'SEP 22'!CF55</f>
        <v>545891.52260000003</v>
      </c>
      <c r="CG5" s="18">
        <f>+'SEP 22'!CG55</f>
        <v>410318.25050000002</v>
      </c>
      <c r="CH5" s="18">
        <f>+'SEP 22'!CH55</f>
        <v>2.9318200000000001</v>
      </c>
      <c r="CI5" s="18">
        <f>+'SEP 22'!CI55</f>
        <v>817360.77743999916</v>
      </c>
      <c r="CJ5" s="18">
        <f>+'SEP 22'!CJ55</f>
        <v>67685.749039999777</v>
      </c>
      <c r="CK5" s="18">
        <f>+'SEP 22'!CK55</f>
        <v>0</v>
      </c>
      <c r="CL5" s="18">
        <f>+'SEP 22'!CL55</f>
        <v>0</v>
      </c>
      <c r="CM5" s="18">
        <f>+'SEP 22'!CM55</f>
        <v>79545.207070000004</v>
      </c>
      <c r="CN5" s="18">
        <f>+'SEP 22'!CN55</f>
        <v>647657.33605000004</v>
      </c>
      <c r="CO5" s="18">
        <f>+'SEP 22'!CO55</f>
        <v>736464.8368199995</v>
      </c>
      <c r="CP5" s="18">
        <f>+'SEP 22'!CP55</f>
        <v>9152723.6727600005</v>
      </c>
      <c r="CQ5" s="18">
        <f>+'SEP 22'!CQ55</f>
        <v>377715.39094000001</v>
      </c>
      <c r="CR5" s="18">
        <f>+'SEP 22'!CR55</f>
        <v>14148.404510000371</v>
      </c>
      <c r="CS5" s="18">
        <f>+'SEP 22'!CS55</f>
        <v>5013.4199999999992</v>
      </c>
      <c r="CT5" s="18">
        <f>+'SEP 22'!CT55</f>
        <v>20149.387893799994</v>
      </c>
      <c r="CU5" s="18">
        <f>+'SEP 22'!CU55</f>
        <v>5013.4199999999992</v>
      </c>
      <c r="CV5" s="18">
        <f>+'SEP 22'!CV55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451309893.21819407</v>
      </c>
    </row>
    <row r="6" spans="1:101" s="20" customFormat="1" x14ac:dyDescent="0.3">
      <c r="A6" s="173"/>
      <c r="B6" s="19"/>
      <c r="C6" s="19" t="s">
        <v>91</v>
      </c>
      <c r="D6" s="19">
        <v>-9379.6544999999987</v>
      </c>
      <c r="E6" s="19">
        <v>4008603.083630003</v>
      </c>
      <c r="F6" s="19">
        <v>-232563.79041999998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260.17</v>
      </c>
      <c r="BU6" s="19">
        <v>1002.2164672000001</v>
      </c>
      <c r="BV6" s="19">
        <v>0</v>
      </c>
      <c r="BW6" s="19">
        <v>0</v>
      </c>
      <c r="BX6" s="19">
        <v>0</v>
      </c>
      <c r="BY6" s="19">
        <v>-126333.87684999996</v>
      </c>
      <c r="BZ6" s="19">
        <v>-4192379.7039199988</v>
      </c>
      <c r="CA6" s="19">
        <v>-796286.16168000107</v>
      </c>
      <c r="CB6" s="19">
        <v>0</v>
      </c>
      <c r="CC6" s="19">
        <v>-1148.6289999999572</v>
      </c>
      <c r="CD6" s="19">
        <v>0</v>
      </c>
      <c r="CE6" s="19">
        <v>0</v>
      </c>
      <c r="CF6" s="19">
        <v>19852.871999999974</v>
      </c>
      <c r="CG6" s="19">
        <v>832.94599999999627</v>
      </c>
      <c r="CH6" s="19">
        <v>0</v>
      </c>
      <c r="CI6" s="19">
        <v>2942.2210000000196</v>
      </c>
      <c r="CJ6" s="19">
        <v>14449.851999999999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443986.03810994513</v>
      </c>
      <c r="E8" s="18">
        <f t="shared" si="0"/>
        <v>29895799.883788798</v>
      </c>
      <c r="F8" s="18">
        <f t="shared" si="0"/>
        <v>1195724.0473043951</v>
      </c>
      <c r="G8" s="18">
        <f t="shared" si="0"/>
        <v>0</v>
      </c>
      <c r="H8" s="18">
        <f t="shared" si="0"/>
        <v>0</v>
      </c>
      <c r="I8" s="18">
        <f t="shared" si="0"/>
        <v>75213.516484578344</v>
      </c>
      <c r="J8" s="18">
        <f t="shared" si="0"/>
        <v>0</v>
      </c>
      <c r="K8" s="18">
        <f t="shared" si="0"/>
        <v>163081.68768414296</v>
      </c>
      <c r="L8" s="18">
        <f t="shared" si="0"/>
        <v>215859.43026886991</v>
      </c>
      <c r="M8" s="18">
        <f t="shared" si="0"/>
        <v>440087.13027547864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8093553.4834668664</v>
      </c>
      <c r="Q8" s="18">
        <f t="shared" si="0"/>
        <v>31503510.836698189</v>
      </c>
      <c r="R8" s="18">
        <f t="shared" si="0"/>
        <v>3243677.3645100002</v>
      </c>
      <c r="S8" s="18">
        <f t="shared" si="0"/>
        <v>13342605.656314226</v>
      </c>
      <c r="T8" s="18">
        <f t="shared" si="0"/>
        <v>56575.250000000007</v>
      </c>
      <c r="U8" s="18">
        <f t="shared" si="0"/>
        <v>227353.77856949999</v>
      </c>
      <c r="V8" s="18">
        <f t="shared" si="0"/>
        <v>49336370.969999991</v>
      </c>
      <c r="W8" s="18">
        <f t="shared" si="0"/>
        <v>196375091.96916798</v>
      </c>
      <c r="X8" s="18">
        <f t="shared" si="0"/>
        <v>2405509.0999999996</v>
      </c>
      <c r="Y8" s="18">
        <f t="shared" si="0"/>
        <v>9664866.7635749988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146351.33999999726</v>
      </c>
      <c r="AI8" s="18">
        <f t="shared" si="0"/>
        <v>604520.75419258873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15955097.461765243</v>
      </c>
      <c r="AM8" s="18">
        <f t="shared" si="0"/>
        <v>97498211.425815344</v>
      </c>
      <c r="AN8" s="18">
        <f t="shared" si="0"/>
        <v>4853701.1557200011</v>
      </c>
      <c r="AO8" s="18">
        <f t="shared" si="0"/>
        <v>882384.62845144002</v>
      </c>
      <c r="AP8" s="18">
        <f t="shared" si="0"/>
        <v>7620995.5088501452</v>
      </c>
      <c r="AQ8" s="18">
        <f t="shared" si="0"/>
        <v>1923382.9864121631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52080.275505996804</v>
      </c>
      <c r="AX8" s="18">
        <f t="shared" si="0"/>
        <v>1064.5961240010877</v>
      </c>
      <c r="AY8" s="18">
        <f t="shared" si="0"/>
        <v>4468672.0798879992</v>
      </c>
      <c r="AZ8" s="18">
        <f t="shared" si="0"/>
        <v>23756.924137323233</v>
      </c>
      <c r="BA8" s="18">
        <f t="shared" si="0"/>
        <v>206610.25472400684</v>
      </c>
      <c r="BB8" s="18">
        <f t="shared" si="0"/>
        <v>71547.944219991172</v>
      </c>
      <c r="BC8" s="18">
        <f t="shared" si="0"/>
        <v>272931.8798479985</v>
      </c>
      <c r="BD8" s="18">
        <f t="shared" si="0"/>
        <v>17438.50459998985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4885909.5036820117</v>
      </c>
      <c r="BL8" s="18">
        <f t="shared" si="0"/>
        <v>115428.75062244607</v>
      </c>
      <c r="BM8" s="18">
        <f t="shared" si="0"/>
        <v>1094307.4356071635</v>
      </c>
      <c r="BN8" s="18">
        <f t="shared" si="0"/>
        <v>1246809.3444573821</v>
      </c>
      <c r="BO8" s="18">
        <f t="shared" si="0"/>
        <v>3.4691202304202307E-3</v>
      </c>
      <c r="BP8" s="18">
        <f t="shared" si="0"/>
        <v>261.75960932906543</v>
      </c>
      <c r="BQ8" s="18">
        <f t="shared" si="0"/>
        <v>4.0128798844989433E-3</v>
      </c>
      <c r="BR8" s="18">
        <f t="shared" si="0"/>
        <v>1508167.7960000036</v>
      </c>
      <c r="BS8" s="18">
        <f t="shared" si="0"/>
        <v>5925980.582785489</v>
      </c>
      <c r="BT8" s="18">
        <f t="shared" ref="BT8:CV8" si="1">BT5+BT6+BT7</f>
        <v>70840.304932017883</v>
      </c>
      <c r="BU8" s="18">
        <f t="shared" si="1"/>
        <v>287383.65494508873</v>
      </c>
      <c r="BV8" s="18">
        <f t="shared" si="1"/>
        <v>9298.8778600000005</v>
      </c>
      <c r="BW8" s="18">
        <f t="shared" si="1"/>
        <v>142153.95199999999</v>
      </c>
      <c r="BX8" s="18">
        <f t="shared" si="1"/>
        <v>22663.665000000001</v>
      </c>
      <c r="BY8" s="18">
        <f>+BY5+BY6+BY7:BZ7</f>
        <v>608967.8779400005</v>
      </c>
      <c r="BZ8" s="18">
        <f t="shared" si="1"/>
        <v>-3388000.086860009</v>
      </c>
      <c r="CA8" s="18">
        <f t="shared" si="1"/>
        <v>2062402.3675599934</v>
      </c>
      <c r="CB8" s="18">
        <f t="shared" si="1"/>
        <v>20118.565999999999</v>
      </c>
      <c r="CC8" s="18">
        <f t="shared" si="1"/>
        <v>1112619.561</v>
      </c>
      <c r="CD8" s="18">
        <f t="shared" si="1"/>
        <v>0</v>
      </c>
      <c r="CE8" s="18">
        <f t="shared" si="1"/>
        <v>2.9999999933352228E-3</v>
      </c>
      <c r="CF8" s="18">
        <f t="shared" si="1"/>
        <v>565744.3946</v>
      </c>
      <c r="CG8" s="18">
        <f t="shared" si="1"/>
        <v>411151.19650000002</v>
      </c>
      <c r="CH8" s="18">
        <f t="shared" si="1"/>
        <v>2.9318200000000001</v>
      </c>
      <c r="CI8" s="18">
        <f t="shared" si="1"/>
        <v>820302.99843999918</v>
      </c>
      <c r="CJ8" s="18">
        <f t="shared" si="1"/>
        <v>82135.601039999776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14148.404510000371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449999484.59292114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/>
      <c r="M11" s="26"/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0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>
        <v>-59724062.491999999</v>
      </c>
      <c r="M20" s="29">
        <v>-73598553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-133322615.492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-60799517.625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-60799517.625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32454960.021000002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32454960.021000002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>
        <v>99182316.883000001</v>
      </c>
      <c r="M24" s="29">
        <v>87685896.855000004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186868213.73800001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>
        <v>-125000</v>
      </c>
      <c r="AI26" s="26">
        <f>(AH26*3852.16)/1000</f>
        <v>-481520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-481520</v>
      </c>
    </row>
    <row r="27" spans="1:101" x14ac:dyDescent="0.3">
      <c r="A27" s="166"/>
      <c r="B27" s="24" t="s">
        <v>95</v>
      </c>
      <c r="C27" s="25" t="s">
        <v>114</v>
      </c>
      <c r="D27" s="26">
        <v>22000</v>
      </c>
      <c r="E27" s="29"/>
      <c r="F27" s="29">
        <v>5385000</v>
      </c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7000000</v>
      </c>
      <c r="CA27" s="26">
        <v>1000000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13407000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-5035000</v>
      </c>
      <c r="F28" s="26"/>
      <c r="G28" s="26"/>
      <c r="H28" s="26"/>
      <c r="I28" s="26"/>
      <c r="J28" s="26"/>
      <c r="K28" s="26"/>
      <c r="L28" s="27">
        <v>-8000000</v>
      </c>
      <c r="M28" s="26">
        <v>-14000000</v>
      </c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-27035000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1240000+440000+1050000</f>
        <v>2730000</v>
      </c>
      <c r="W35" s="38">
        <f>(V35*3852.16)/1000</f>
        <v>10516396.800000001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10516396.800000001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f>-1508300-1518450</f>
        <v>-3026750</v>
      </c>
      <c r="M38" s="39"/>
      <c r="N38" s="38"/>
      <c r="O38" s="38"/>
      <c r="P38" s="38">
        <v>-537234.11</v>
      </c>
      <c r="Q38" s="38">
        <f>(P38*3852.16)/1000</f>
        <v>-2069511.7491775998</v>
      </c>
      <c r="R38" s="38">
        <v>-134308.53</v>
      </c>
      <c r="S38" s="38">
        <f>(R38*3852.16)/1000</f>
        <v>-517377.9469248</v>
      </c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-5613639.6961023994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>
        <v>-8.8309999999999995</v>
      </c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-8.8309999999999995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f>-0.974-0.01</f>
        <v>-0.98399999999999999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f>-2.551-0.01</f>
        <v>-2.5609999999999999</v>
      </c>
      <c r="BB50" s="49">
        <v>-0.88300000000000001</v>
      </c>
      <c r="BC50" s="49">
        <v>-3.37</v>
      </c>
      <c r="BD50" s="49">
        <f>-0.215-0.01</f>
        <v>-0.22500000000000001</v>
      </c>
      <c r="BE50" s="49"/>
      <c r="BF50" s="49"/>
      <c r="BG50" s="49"/>
      <c r="BH50" s="49"/>
      <c r="BI50" s="49"/>
      <c r="BJ50" s="49"/>
      <c r="BK50" s="49"/>
      <c r="BL50" s="49">
        <v>-1.4950000000000001</v>
      </c>
      <c r="BM50" s="49">
        <v>-14.169</v>
      </c>
      <c r="BN50" s="49">
        <v>-16.143000000000001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-39.83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-695.923</v>
      </c>
      <c r="F51" s="49">
        <v>-65.738</v>
      </c>
      <c r="G51" s="49"/>
      <c r="H51" s="49"/>
      <c r="I51" s="49"/>
      <c r="J51" s="49"/>
      <c r="K51" s="48"/>
      <c r="L51" s="48">
        <v>-105.40470999999999</v>
      </c>
      <c r="M51" s="48">
        <v>-8.2590000000000003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>
        <f>-50-3.5</f>
        <v>-53.5</v>
      </c>
      <c r="AI51" s="49">
        <f>(AH51*3852.16)/1000</f>
        <v>-206.09056000000001</v>
      </c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-1081.4152700000002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13.914490000000001</v>
      </c>
      <c r="J52" s="49"/>
      <c r="K52" s="49"/>
      <c r="L52" s="48"/>
      <c r="M52" s="48"/>
      <c r="N52" s="49"/>
      <c r="O52" s="49"/>
      <c r="P52" s="49"/>
      <c r="Q52" s="49"/>
      <c r="R52" s="49">
        <v>224.61</v>
      </c>
      <c r="S52" s="49">
        <f>(R52*3852.16)/1000</f>
        <v>865.23365760000002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36.447000000000003</v>
      </c>
      <c r="BB52" s="49">
        <v>12.621</v>
      </c>
      <c r="BC52" s="49">
        <v>48.146999999999998</v>
      </c>
      <c r="BD52" s="49">
        <v>3.0760000000000001</v>
      </c>
      <c r="BE52" s="49"/>
      <c r="BF52" s="49"/>
      <c r="BG52" s="49"/>
      <c r="BH52" s="49"/>
      <c r="BI52" s="49"/>
      <c r="BJ52" s="49"/>
      <c r="BK52" s="49"/>
      <c r="BL52" s="49">
        <f>21.35065-19.781</f>
        <v>1.5696500000000029</v>
      </c>
      <c r="BM52" s="49">
        <f>202.41218-187.53</f>
        <v>14.882180000000005</v>
      </c>
      <c r="BN52" s="49">
        <f>230.6202-213.67+214.52</f>
        <v>231.47020000000003</v>
      </c>
      <c r="BO52" s="49"/>
      <c r="BP52" s="49">
        <f>48.41/1000-0.04</f>
        <v>8.4099999999999939E-3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1227.3695875999999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-2.7836919999999998</v>
      </c>
      <c r="F53" s="49">
        <f>(F10+F13+F16+F17+F33+F38+F47+F35)*4/1000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-12107.421618840001</v>
      </c>
      <c r="M53" s="48">
        <f>(M10+M13+M17+M33+M38+M40+M51+M36+M49+M16)*4/1000</f>
        <v>-3.3036000000000003E-2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G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>(AH10+AH13+AH16+AH17+AH33+AH38+AH40+AH47)*4/1000</f>
        <v>0</v>
      </c>
      <c r="AI53" s="49">
        <f>(AI10+AI13+AI16+AI17+AI33+AI38+AI40+AI47)*4/1000</f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-3.5324000000000001E-2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-12110.273670840003</v>
      </c>
    </row>
    <row r="54" spans="1:101" x14ac:dyDescent="0.3">
      <c r="C54" s="50" t="s">
        <v>141</v>
      </c>
      <c r="D54" s="51">
        <f t="shared" ref="D54:AM54" si="6">SUM(D9:D53)</f>
        <v>22000</v>
      </c>
      <c r="E54" s="51">
        <f t="shared" si="6"/>
        <v>-5035698.7066920009</v>
      </c>
      <c r="F54" s="51">
        <f>SUM(F9:F53)</f>
        <v>5384934.2620000001</v>
      </c>
      <c r="G54" s="51">
        <f t="shared" si="6"/>
        <v>0</v>
      </c>
      <c r="H54" s="51">
        <f t="shared" si="6"/>
        <v>0</v>
      </c>
      <c r="I54" s="51">
        <f t="shared" si="6"/>
        <v>12.930490000000001</v>
      </c>
      <c r="J54" s="51">
        <f t="shared" si="6"/>
        <v>0</v>
      </c>
      <c r="K54" s="51">
        <f t="shared" si="6"/>
        <v>0</v>
      </c>
      <c r="L54" s="52">
        <f>SUM(L9:L53)</f>
        <v>74733.960671160472</v>
      </c>
      <c r="M54" s="51">
        <f t="shared" si="6"/>
        <v>87335.562964004173</v>
      </c>
      <c r="N54" s="51">
        <f t="shared" si="6"/>
        <v>0</v>
      </c>
      <c r="O54" s="51">
        <f t="shared" si="6"/>
        <v>0</v>
      </c>
      <c r="P54" s="51">
        <f t="shared" si="6"/>
        <v>-537234.11</v>
      </c>
      <c r="Q54" s="51">
        <f t="shared" si="6"/>
        <v>-2069511.7491775998</v>
      </c>
      <c r="R54" s="51">
        <f t="shared" si="6"/>
        <v>-134083.92000000001</v>
      </c>
      <c r="S54" s="51">
        <f t="shared" si="6"/>
        <v>-516512.71326719999</v>
      </c>
      <c r="T54" s="51">
        <f t="shared" si="6"/>
        <v>0</v>
      </c>
      <c r="U54" s="51">
        <f t="shared" si="6"/>
        <v>0</v>
      </c>
      <c r="V54" s="51">
        <f t="shared" si="6"/>
        <v>2730000</v>
      </c>
      <c r="W54" s="51">
        <f t="shared" si="6"/>
        <v>10516396.800000001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-125053.5</v>
      </c>
      <c r="AI54" s="51">
        <f t="shared" si="6"/>
        <v>-481726.09055999998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-8.8663239999999988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33.886000000000003</v>
      </c>
      <c r="BB54" s="51">
        <f t="shared" si="7"/>
        <v>11.738</v>
      </c>
      <c r="BC54" s="51">
        <f t="shared" si="7"/>
        <v>44.777000000000001</v>
      </c>
      <c r="BD54" s="51">
        <f t="shared" si="7"/>
        <v>2.851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7.465000000000277E-2</v>
      </c>
      <c r="BM54" s="51">
        <f t="shared" si="7"/>
        <v>0.71318000000000481</v>
      </c>
      <c r="BN54" s="51">
        <f t="shared" si="7"/>
        <v>215.32720000000003</v>
      </c>
      <c r="BO54" s="51">
        <f t="shared" si="7"/>
        <v>0</v>
      </c>
      <c r="BP54" s="51">
        <f t="shared" si="7"/>
        <v>8.4099999999999939E-3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7000000</v>
      </c>
      <c r="CA54" s="51">
        <f t="shared" si="7"/>
        <v>1000000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15982264.765544364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465986.03810994513</v>
      </c>
      <c r="E55" s="56">
        <f t="shared" si="8"/>
        <v>24860101.177096799</v>
      </c>
      <c r="F55" s="56">
        <f>+F8+F54</f>
        <v>6580658.3093043957</v>
      </c>
      <c r="G55" s="56">
        <f t="shared" si="8"/>
        <v>0</v>
      </c>
      <c r="H55" s="56">
        <f t="shared" si="8"/>
        <v>0</v>
      </c>
      <c r="I55" s="56">
        <f t="shared" si="8"/>
        <v>75226.446974578343</v>
      </c>
      <c r="J55" s="56">
        <f t="shared" si="8"/>
        <v>0</v>
      </c>
      <c r="K55" s="56">
        <f t="shared" si="8"/>
        <v>163081.68768414296</v>
      </c>
      <c r="L55" s="56">
        <f t="shared" si="8"/>
        <v>290593.3909400304</v>
      </c>
      <c r="M55" s="56">
        <f t="shared" si="8"/>
        <v>527422.69323948282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7556319.3734668661</v>
      </c>
      <c r="Q55" s="56">
        <f t="shared" si="8"/>
        <v>29433999.087520588</v>
      </c>
      <c r="R55" s="56">
        <f t="shared" si="8"/>
        <v>3109593.4445100003</v>
      </c>
      <c r="S55" s="56">
        <f t="shared" si="8"/>
        <v>12826092.943047026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52066370.969999991</v>
      </c>
      <c r="W55" s="56">
        <f t="shared" si="8"/>
        <v>206891488.76916799</v>
      </c>
      <c r="X55" s="56">
        <f t="shared" si="8"/>
        <v>2405509.0999999996</v>
      </c>
      <c r="Y55" s="56">
        <f t="shared" si="8"/>
        <v>9664866.7635749988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21297.839999997261</v>
      </c>
      <c r="AI55" s="56">
        <f t="shared" si="8"/>
        <v>122794.66363258875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15955097.461765243</v>
      </c>
      <c r="AM55" s="56">
        <f t="shared" si="8"/>
        <v>97498211.425815344</v>
      </c>
      <c r="AN55" s="56">
        <f t="shared" si="8"/>
        <v>4853701.1557200011</v>
      </c>
      <c r="AO55" s="56">
        <f t="shared" si="8"/>
        <v>882384.62845144002</v>
      </c>
      <c r="AP55" s="56">
        <f t="shared" si="8"/>
        <v>7620995.5088501452</v>
      </c>
      <c r="AQ55" s="56">
        <f t="shared" si="8"/>
        <v>1923382.9864121631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52071.409181996802</v>
      </c>
      <c r="AX55" s="56">
        <f t="shared" si="8"/>
        <v>1064.5961240010877</v>
      </c>
      <c r="AY55" s="56">
        <f t="shared" si="8"/>
        <v>4468672.0798879992</v>
      </c>
      <c r="AZ55" s="56">
        <f t="shared" si="8"/>
        <v>23756.924137323233</v>
      </c>
      <c r="BA55" s="56">
        <f t="shared" si="8"/>
        <v>206644.14072400684</v>
      </c>
      <c r="BB55" s="56">
        <f t="shared" si="8"/>
        <v>71559.682219991169</v>
      </c>
      <c r="BC55" s="56">
        <f t="shared" si="8"/>
        <v>272976.6568479985</v>
      </c>
      <c r="BD55" s="56">
        <f t="shared" si="8"/>
        <v>17441.355599989849</v>
      </c>
      <c r="BE55" s="56">
        <f t="shared" si="8"/>
        <v>256626.99715368054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4885909.5036820117</v>
      </c>
      <c r="BL55" s="56">
        <f t="shared" si="8"/>
        <v>115428.82527244606</v>
      </c>
      <c r="BM55" s="56">
        <f t="shared" si="8"/>
        <v>1094308.1487871634</v>
      </c>
      <c r="BN55" s="56">
        <f t="shared" si="8"/>
        <v>1247024.671657382</v>
      </c>
      <c r="BO55" s="56">
        <f t="shared" si="8"/>
        <v>3.4691202304202307E-3</v>
      </c>
      <c r="BP55" s="56">
        <f t="shared" si="8"/>
        <v>261.76801932906545</v>
      </c>
      <c r="BQ55" s="56">
        <f t="shared" si="8"/>
        <v>4.0128798844989433E-3</v>
      </c>
      <c r="BR55" s="56">
        <f t="shared" si="8"/>
        <v>1508167.7960000036</v>
      </c>
      <c r="BS55" s="56">
        <f t="shared" si="8"/>
        <v>5925980.582785489</v>
      </c>
      <c r="BT55" s="56">
        <f t="shared" ref="BT55:CV55" si="9">+BT8+BT54</f>
        <v>70840.304932017883</v>
      </c>
      <c r="BU55" s="56">
        <f t="shared" si="9"/>
        <v>287383.65494508873</v>
      </c>
      <c r="BV55" s="56">
        <f t="shared" si="9"/>
        <v>9298.8778600000005</v>
      </c>
      <c r="BW55" s="56">
        <f t="shared" si="9"/>
        <v>142153.95199999999</v>
      </c>
      <c r="BX55" s="56">
        <f t="shared" si="9"/>
        <v>22663.665000000001</v>
      </c>
      <c r="BY55" s="56">
        <f t="shared" si="9"/>
        <v>608967.8779400005</v>
      </c>
      <c r="BZ55" s="56">
        <f t="shared" si="9"/>
        <v>3611999.913139991</v>
      </c>
      <c r="CA55" s="56">
        <f t="shared" si="9"/>
        <v>3062402.3675599936</v>
      </c>
      <c r="CB55" s="56">
        <f t="shared" si="9"/>
        <v>20118.565999999999</v>
      </c>
      <c r="CC55" s="56">
        <f t="shared" si="9"/>
        <v>1112619.561</v>
      </c>
      <c r="CD55" s="56">
        <f t="shared" si="9"/>
        <v>0</v>
      </c>
      <c r="CE55" s="56">
        <f t="shared" si="9"/>
        <v>2.9999999933352228E-3</v>
      </c>
      <c r="CF55" s="56">
        <f t="shared" si="9"/>
        <v>565744.3946</v>
      </c>
      <c r="CG55" s="56">
        <f t="shared" si="9"/>
        <v>411151.19650000002</v>
      </c>
      <c r="CH55" s="56">
        <f t="shared" si="9"/>
        <v>2.9318200000000001</v>
      </c>
      <c r="CI55" s="56">
        <f t="shared" si="9"/>
        <v>820302.99843999918</v>
      </c>
      <c r="CJ55" s="56">
        <f t="shared" si="9"/>
        <v>82135.601039999776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14148.404510000371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465981749.35846543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67"/>
      <c r="O57" s="67"/>
      <c r="P57" s="151"/>
      <c r="Q57" s="71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O58" s="67"/>
      <c r="P58" s="152"/>
      <c r="Q58" s="71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N59" s="71"/>
      <c r="O59" s="67"/>
      <c r="P59" s="152"/>
      <c r="Q59" s="71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232730173.759</v>
      </c>
      <c r="E60" s="71"/>
      <c r="F60" s="84" t="s">
        <v>49</v>
      </c>
      <c r="G60" s="84" t="s">
        <v>149</v>
      </c>
      <c r="H60" s="85"/>
      <c r="I60" s="86"/>
      <c r="J60" s="57"/>
      <c r="N60" s="71"/>
      <c r="O60" s="67"/>
      <c r="P60" s="152"/>
      <c r="Q60" s="71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32454960.021000002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O61" s="67"/>
      <c r="P61" s="152"/>
      <c r="Q61" s="71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59"/>
      <c r="BY61" s="59"/>
      <c r="BZ61" s="57"/>
      <c r="CA61" s="59"/>
      <c r="CD61" s="59"/>
    </row>
    <row r="62" spans="1:101" x14ac:dyDescent="0.3">
      <c r="B62" s="165"/>
      <c r="C62" s="87" t="s">
        <v>152</v>
      </c>
      <c r="D62" s="88">
        <f>CW11+CW15</f>
        <v>0</v>
      </c>
      <c r="E62" s="67"/>
      <c r="F62" s="89" t="s">
        <v>153</v>
      </c>
      <c r="G62" s="91">
        <f>P55</f>
        <v>7556319.3734668661</v>
      </c>
      <c r="H62" s="92"/>
      <c r="I62" s="86"/>
      <c r="J62" s="66"/>
      <c r="N62" s="67"/>
      <c r="O62" s="67"/>
      <c r="P62" s="152"/>
      <c r="Q62" s="71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13407000</v>
      </c>
      <c r="E63" s="67">
        <v>1970875.0557800001</v>
      </c>
      <c r="F63" s="89" t="s">
        <v>155</v>
      </c>
      <c r="G63" s="91">
        <f>R55</f>
        <v>3109593.4445100003</v>
      </c>
      <c r="H63" s="93"/>
      <c r="I63" s="94"/>
      <c r="J63" s="57"/>
      <c r="N63" s="153"/>
      <c r="O63" s="153"/>
      <c r="P63" s="151"/>
      <c r="Q63" s="71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186868213.73800001</v>
      </c>
      <c r="E64" s="67" t="s">
        <v>205</v>
      </c>
      <c r="H64" s="57"/>
      <c r="I64" s="77"/>
      <c r="J64" s="66"/>
      <c r="N64" s="153"/>
      <c r="O64" s="153"/>
      <c r="P64" s="152"/>
      <c r="Q64" s="71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153"/>
      <c r="O65" s="153"/>
      <c r="P65" s="152"/>
      <c r="Q65" s="71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152"/>
      <c r="Q66" s="71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71"/>
      <c r="Q67" s="71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52066370.969999991</v>
      </c>
      <c r="H68" s="57"/>
      <c r="I68" s="98"/>
      <c r="J68" s="108"/>
      <c r="M68" s="101"/>
      <c r="N68" s="101"/>
      <c r="O68" s="69"/>
      <c r="P68" s="6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2405509.0999999996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-227252292.81310239</v>
      </c>
      <c r="E73" s="71"/>
      <c r="F73" s="114" t="s">
        <v>163</v>
      </c>
      <c r="G73" s="115">
        <f>L55*1000</f>
        <v>290593390.9400304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527422693.23948282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-133322615.492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-60799517.625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-27516520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-5613639.6961023994</v>
      </c>
      <c r="E81" s="101" t="s">
        <v>205</v>
      </c>
      <c r="F81" s="128" t="s">
        <v>172</v>
      </c>
      <c r="G81" s="126">
        <f>AH55</f>
        <v>21297.839999997261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206610.25472400684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36.447000000000003</v>
      </c>
      <c r="L92" s="143">
        <f>BA50+BA51+BA53+BA40+BA42+BA43+BA45</f>
        <v>-2.5609999999999999</v>
      </c>
      <c r="M92" s="144">
        <f t="shared" si="10"/>
        <v>206644.14072400684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256626.99715368054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52080.275505996804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-3.5324000000000001E-2</v>
      </c>
      <c r="M94" s="144">
        <f t="shared" si="10"/>
        <v>52080.240181996807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272931.8798479985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48.146999999999998</v>
      </c>
      <c r="L98" s="143">
        <f>BC50+BC51+BC53+BC40+BC42+BC43+BC45</f>
        <v>-3.37</v>
      </c>
      <c r="M98" s="144">
        <f t="shared" si="10"/>
        <v>272976.6568479985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71547.944219991172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12.621</v>
      </c>
      <c r="L99" s="143">
        <f>BB50+BB51+BB53+BB40+BB42+BB43+BB45</f>
        <v>-0.88300000000000001</v>
      </c>
      <c r="M99" s="144">
        <f t="shared" si="10"/>
        <v>71559.682219991169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17438.50459998985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3.0760000000000001</v>
      </c>
      <c r="L104" s="143">
        <f>BD50+BD51+BD53+BD40+BD42+BD43+BD45</f>
        <v>-0.22500000000000001</v>
      </c>
      <c r="M104" s="144">
        <f t="shared" si="10"/>
        <v>17441.355599989853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4468672.0798879992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4468672.0798879992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573389.79464767931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36.447000000000003</v>
      </c>
      <c r="L108" s="98">
        <f t="shared" si="11"/>
        <v>-2.5963240000000001</v>
      </c>
      <c r="M108" s="98">
        <f t="shared" si="11"/>
        <v>573423.64532367932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848117.48277235276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60.768000000000001</v>
      </c>
      <c r="L109" s="98">
        <f t="shared" si="12"/>
        <v>-4.2530000000000001</v>
      </c>
      <c r="M109" s="98">
        <f t="shared" si="12"/>
        <v>848173.99777235277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4746084.1609914294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3.0760000000000001</v>
      </c>
      <c r="L110" s="98">
        <f t="shared" si="13"/>
        <v>-0.22500000000000001</v>
      </c>
      <c r="M110" s="98">
        <f t="shared" si="13"/>
        <v>4746087.0119914291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8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23'!D55</f>
        <v>465986.03810994513</v>
      </c>
      <c r="E5" s="18">
        <f>'SEP 23'!E55</f>
        <v>24860101.177096799</v>
      </c>
      <c r="F5" s="18">
        <f>'SEP 23'!F55</f>
        <v>6580658.3093043957</v>
      </c>
      <c r="G5" s="18">
        <f>'SEP 23'!G55</f>
        <v>0</v>
      </c>
      <c r="H5" s="18">
        <f>'SEP 23'!H55</f>
        <v>0</v>
      </c>
      <c r="I5" s="18">
        <f>'SEP 23'!I55</f>
        <v>75226.446974578343</v>
      </c>
      <c r="J5" s="18">
        <f>'SEP 23'!J55</f>
        <v>0</v>
      </c>
      <c r="K5" s="18">
        <f>'SEP 23'!K55</f>
        <v>163081.68768414296</v>
      </c>
      <c r="L5" s="18">
        <f>'SEP 23'!L55</f>
        <v>290593.3909400304</v>
      </c>
      <c r="M5" s="18">
        <f>'SEP 23'!M55</f>
        <v>527422.69323948282</v>
      </c>
      <c r="N5" s="18">
        <f>'SEP 23'!N55</f>
        <v>120822.5199999999</v>
      </c>
      <c r="O5" s="18">
        <f>'SEP 23'!O55</f>
        <v>485514.42259319959</v>
      </c>
      <c r="P5" s="18">
        <f>'SEP 23'!P55</f>
        <v>7556319.3734668661</v>
      </c>
      <c r="Q5" s="18">
        <f>'SEP 23'!Q55</f>
        <v>29433999.087520588</v>
      </c>
      <c r="R5" s="18">
        <f>'SEP 23'!R55</f>
        <v>3109593.4445100003</v>
      </c>
      <c r="S5" s="18">
        <f>'SEP 23'!S55</f>
        <v>12826092.943047026</v>
      </c>
      <c r="T5" s="18">
        <f>'SEP 23'!T55</f>
        <v>56575.250000000007</v>
      </c>
      <c r="U5" s="18">
        <f>'SEP 23'!U55</f>
        <v>227353.77856949999</v>
      </c>
      <c r="V5" s="18">
        <f>'SEP 23'!V55</f>
        <v>52066370.969999991</v>
      </c>
      <c r="W5" s="18">
        <f>'SEP 23'!W55</f>
        <v>206891488.76916799</v>
      </c>
      <c r="X5" s="18">
        <f>'SEP 23'!X55</f>
        <v>2405509.0999999996</v>
      </c>
      <c r="Y5" s="18">
        <f>'SEP 23'!Y55</f>
        <v>9664866.7635749988</v>
      </c>
      <c r="Z5" s="18">
        <f>'SEP 23'!Z55</f>
        <v>9662.5274983807467</v>
      </c>
      <c r="AA5" s="18">
        <f>'SEP 23'!AA55</f>
        <v>38827.997124768175</v>
      </c>
      <c r="AB5" s="18">
        <f>'SEP 23'!AB55</f>
        <v>7542.7499999967404</v>
      </c>
      <c r="AC5" s="18">
        <f>'SEP 23'!AC55</f>
        <v>30309.862027486903</v>
      </c>
      <c r="AD5" s="18">
        <f>'SEP 23'!AD55</f>
        <v>5155</v>
      </c>
      <c r="AE5" s="18">
        <f>'SEP 23'!AE55</f>
        <v>20714.903549999999</v>
      </c>
      <c r="AF5" s="18">
        <f>'SEP 23'!AF55</f>
        <v>7956.8699999451637</v>
      </c>
      <c r="AG5" s="18">
        <f>'SEP 23'!AG55</f>
        <v>31973.965976479645</v>
      </c>
      <c r="AH5" s="18">
        <f>'SEP 23'!AH55</f>
        <v>21297.839999997261</v>
      </c>
      <c r="AI5" s="18">
        <f>'SEP 23'!AI55</f>
        <v>122794.66363258875</v>
      </c>
      <c r="AJ5" s="18">
        <f>'SEP 23'!AJ55</f>
        <v>675895.70999999822</v>
      </c>
      <c r="AK5" s="18">
        <f>'SEP 23'!AK55</f>
        <v>2716026.0800210927</v>
      </c>
      <c r="AL5" s="18">
        <f>'SEP 23'!AL55</f>
        <v>15955097.461765243</v>
      </c>
      <c r="AM5" s="18">
        <f>'SEP 23'!AM55</f>
        <v>97498211.425815344</v>
      </c>
      <c r="AN5" s="18">
        <f>'SEP 23'!AN55</f>
        <v>4853701.1557200011</v>
      </c>
      <c r="AO5" s="18">
        <f>'SEP 23'!AO55</f>
        <v>882384.62845144002</v>
      </c>
      <c r="AP5" s="18">
        <f>'SEP 23'!AP55</f>
        <v>7620995.5088501452</v>
      </c>
      <c r="AQ5" s="18">
        <f>'SEP 23'!AQ55</f>
        <v>1923382.9864121631</v>
      </c>
      <c r="AR5" s="18">
        <f>'SEP 23'!AR55</f>
        <v>33467.106463993005</v>
      </c>
      <c r="AS5" s="18">
        <f>'SEP 23'!AS55</f>
        <v>6.3419079996137473</v>
      </c>
      <c r="AT5" s="18">
        <f>'SEP 23'!AT55</f>
        <v>11.326432002509915</v>
      </c>
      <c r="AU5" s="18">
        <f>'SEP 23'!AU55</f>
        <v>70852.565203997277</v>
      </c>
      <c r="AV5" s="18">
        <f>'SEP 23'!AV55</f>
        <v>529097.77060280275</v>
      </c>
      <c r="AW5" s="18">
        <f>'SEP 23'!AW55</f>
        <v>52071.409181996802</v>
      </c>
      <c r="AX5" s="18">
        <f>'SEP 23'!AX55</f>
        <v>1064.5961240010877</v>
      </c>
      <c r="AY5" s="18">
        <f>'SEP 23'!AY55</f>
        <v>4468672.0798879992</v>
      </c>
      <c r="AZ5" s="18">
        <f>'SEP 23'!AZ55</f>
        <v>23756.924137323233</v>
      </c>
      <c r="BA5" s="18">
        <f>'SEP 23'!BA55</f>
        <v>206644.14072400684</v>
      </c>
      <c r="BB5" s="18">
        <f>'SEP 23'!BB55</f>
        <v>71559.682219991169</v>
      </c>
      <c r="BC5" s="18">
        <f>'SEP 23'!BC55</f>
        <v>272976.6568479985</v>
      </c>
      <c r="BD5" s="18">
        <f>'SEP 23'!BD55</f>
        <v>17441.355599989849</v>
      </c>
      <c r="BE5" s="18">
        <f>'SEP 23'!BE55</f>
        <v>256626.99715368054</v>
      </c>
      <c r="BF5" s="18">
        <f>'SEP 23'!BF55</f>
        <v>294827.49323035986</v>
      </c>
      <c r="BG5" s="18">
        <f>'SEP 23'!BG55</f>
        <v>35110.408018882757</v>
      </c>
      <c r="BH5" s="18">
        <f>'SEP 23'!BH55</f>
        <v>24605.160800002101</v>
      </c>
      <c r="BI5" s="18">
        <f>'SEP 23'!BI55</f>
        <v>207727.90101</v>
      </c>
      <c r="BJ5" s="18">
        <f>'SEP 23'!BJ55</f>
        <v>154010.6032805602</v>
      </c>
      <c r="BK5" s="18">
        <f>'SEP 23'!BK55</f>
        <v>4885909.5036820117</v>
      </c>
      <c r="BL5" s="18">
        <f>'SEP 23'!BL55</f>
        <v>115428.82527244606</v>
      </c>
      <c r="BM5" s="18">
        <f>'SEP 23'!BM55</f>
        <v>1094308.1487871634</v>
      </c>
      <c r="BN5" s="18">
        <f>'SEP 23'!BN55</f>
        <v>1247024.671657382</v>
      </c>
      <c r="BO5" s="18">
        <f>'SEP 23'!BO55</f>
        <v>3.4691202304202307E-3</v>
      </c>
      <c r="BP5" s="18">
        <f>'SEP 23'!BP55</f>
        <v>261.76801932906545</v>
      </c>
      <c r="BQ5" s="18">
        <f>'SEP 23'!BQ55</f>
        <v>4.0128798844989433E-3</v>
      </c>
      <c r="BR5" s="18">
        <f>'SEP 23'!BR55</f>
        <v>1508167.7960000036</v>
      </c>
      <c r="BS5" s="18">
        <f>'SEP 23'!BS55</f>
        <v>5925980.582785489</v>
      </c>
      <c r="BT5" s="18">
        <f>'SEP 23'!BT55</f>
        <v>70840.304932017883</v>
      </c>
      <c r="BU5" s="18">
        <f>'SEP 23'!BU55</f>
        <v>287383.65494508873</v>
      </c>
      <c r="BV5" s="18">
        <f>'SEP 23'!BV55</f>
        <v>9298.8778600000005</v>
      </c>
      <c r="BW5" s="18">
        <f>'SEP 23'!BW55</f>
        <v>142153.95199999999</v>
      </c>
      <c r="BX5" s="18">
        <f>'SEP 23'!BX55</f>
        <v>22663.665000000001</v>
      </c>
      <c r="BY5" s="18">
        <f>'SEP 23'!BY55</f>
        <v>608967.8779400005</v>
      </c>
      <c r="BZ5" s="18">
        <f>'SEP 23'!BZ55</f>
        <v>3611999.913139991</v>
      </c>
      <c r="CA5" s="18">
        <f>'SEP 23'!CA55</f>
        <v>3062402.3675599936</v>
      </c>
      <c r="CB5" s="18">
        <f>'SEP 23'!CB55</f>
        <v>20118.565999999999</v>
      </c>
      <c r="CC5" s="18">
        <f>'SEP 23'!CC55</f>
        <v>1112619.561</v>
      </c>
      <c r="CD5" s="18">
        <f>'SEP 23'!CD55</f>
        <v>0</v>
      </c>
      <c r="CE5" s="18">
        <f>'SEP 23'!CE55</f>
        <v>2.9999999933352228E-3</v>
      </c>
      <c r="CF5" s="18">
        <f>'SEP 23'!CF55</f>
        <v>565744.3946</v>
      </c>
      <c r="CG5" s="18">
        <f>'SEP 23'!CG55</f>
        <v>411151.19650000002</v>
      </c>
      <c r="CH5" s="18">
        <f>'SEP 23'!CH55</f>
        <v>2.9318200000000001</v>
      </c>
      <c r="CI5" s="18">
        <f>'SEP 23'!CI55</f>
        <v>820302.99843999918</v>
      </c>
      <c r="CJ5" s="18">
        <f>'SEP 23'!CJ55</f>
        <v>82135.601039999776</v>
      </c>
      <c r="CK5" s="18">
        <f>'SEP 23'!CK55</f>
        <v>0</v>
      </c>
      <c r="CL5" s="18">
        <f>'SEP 23'!CL55</f>
        <v>0</v>
      </c>
      <c r="CM5" s="18">
        <f>'SEP 23'!CM55</f>
        <v>79545.207070000004</v>
      </c>
      <c r="CN5" s="18">
        <f>'SEP 23'!CN55</f>
        <v>647657.33605000004</v>
      </c>
      <c r="CO5" s="18">
        <f>'SEP 23'!CO55</f>
        <v>736464.8368199995</v>
      </c>
      <c r="CP5" s="18">
        <f>'SEP 23'!CP55</f>
        <v>9152723.6727600005</v>
      </c>
      <c r="CQ5" s="18">
        <f>'SEP 23'!CQ55</f>
        <v>377715.39094000001</v>
      </c>
      <c r="CR5" s="18">
        <f>'SEP 23'!CR55</f>
        <v>14148.404510000371</v>
      </c>
      <c r="CS5" s="18">
        <f>'SEP 23'!CS55</f>
        <v>5013.4199999999992</v>
      </c>
      <c r="CT5" s="18">
        <f>'SEP 23'!CT55</f>
        <v>20149.387893799994</v>
      </c>
      <c r="CU5" s="18">
        <f>'SEP 23'!CU55</f>
        <v>5013.4199999999992</v>
      </c>
      <c r="CV5" s="18">
        <f>'SEP 23'!CV55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465981749.35846543</v>
      </c>
    </row>
    <row r="6" spans="1:101" s="20" customFormat="1" x14ac:dyDescent="0.3">
      <c r="A6" s="173"/>
      <c r="B6" s="19"/>
      <c r="C6" s="19" t="s">
        <v>91</v>
      </c>
      <c r="D6" s="19">
        <v>-31717.050669999997</v>
      </c>
      <c r="E6" s="19">
        <v>9606450.5646699928</v>
      </c>
      <c r="F6" s="19">
        <v>5798014.3780599991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291887</v>
      </c>
      <c r="BS6" s="19">
        <v>1122150.81489</v>
      </c>
      <c r="BT6" s="19">
        <v>0</v>
      </c>
      <c r="BU6" s="19">
        <v>0</v>
      </c>
      <c r="BV6" s="19">
        <v>0</v>
      </c>
      <c r="BW6" s="19">
        <v>3012.939000000013</v>
      </c>
      <c r="BX6" s="19">
        <v>0</v>
      </c>
      <c r="BY6" s="19">
        <v>-20729.33800000004</v>
      </c>
      <c r="BZ6" s="19">
        <v>-1226590.9895300004</v>
      </c>
      <c r="CA6" s="19">
        <v>-1847118.92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7605.1650000000373</v>
      </c>
      <c r="CJ6" s="19">
        <v>22547.682000000001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434268.98743994511</v>
      </c>
      <c r="E8" s="18">
        <f t="shared" si="0"/>
        <v>34466551.741766796</v>
      </c>
      <c r="F8" s="18">
        <f t="shared" si="0"/>
        <v>12378672.687364396</v>
      </c>
      <c r="G8" s="18">
        <f t="shared" si="0"/>
        <v>0</v>
      </c>
      <c r="H8" s="18">
        <f t="shared" si="0"/>
        <v>0</v>
      </c>
      <c r="I8" s="18">
        <f t="shared" si="0"/>
        <v>75226.446974578343</v>
      </c>
      <c r="J8" s="18">
        <f t="shared" si="0"/>
        <v>0</v>
      </c>
      <c r="K8" s="18">
        <f t="shared" si="0"/>
        <v>163081.68768414296</v>
      </c>
      <c r="L8" s="18">
        <f t="shared" si="0"/>
        <v>290593.3909400304</v>
      </c>
      <c r="M8" s="18">
        <f t="shared" si="0"/>
        <v>527422.69323948282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7556319.3734668661</v>
      </c>
      <c r="Q8" s="18">
        <f t="shared" si="0"/>
        <v>29433999.087520588</v>
      </c>
      <c r="R8" s="18">
        <f t="shared" si="0"/>
        <v>3109593.4445100003</v>
      </c>
      <c r="S8" s="18">
        <f t="shared" si="0"/>
        <v>12826092.943047026</v>
      </c>
      <c r="T8" s="18">
        <f t="shared" si="0"/>
        <v>56575.250000000007</v>
      </c>
      <c r="U8" s="18">
        <f t="shared" si="0"/>
        <v>227353.77856949999</v>
      </c>
      <c r="V8" s="18">
        <f t="shared" si="0"/>
        <v>52066370.969999991</v>
      </c>
      <c r="W8" s="18">
        <f t="shared" si="0"/>
        <v>206891488.76916799</v>
      </c>
      <c r="X8" s="18">
        <f t="shared" si="0"/>
        <v>2405509.0999999996</v>
      </c>
      <c r="Y8" s="18">
        <f t="shared" si="0"/>
        <v>9664866.7635749988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21297.839999997261</v>
      </c>
      <c r="AI8" s="18">
        <f t="shared" si="0"/>
        <v>122794.66363258875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15955097.461765243</v>
      </c>
      <c r="AM8" s="18">
        <f t="shared" si="0"/>
        <v>97498211.425815344</v>
      </c>
      <c r="AN8" s="18">
        <f t="shared" si="0"/>
        <v>4853701.1557200011</v>
      </c>
      <c r="AO8" s="18">
        <f t="shared" si="0"/>
        <v>882384.62845144002</v>
      </c>
      <c r="AP8" s="18">
        <f t="shared" si="0"/>
        <v>7620995.5088501452</v>
      </c>
      <c r="AQ8" s="18">
        <f t="shared" si="0"/>
        <v>1923382.9864121631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52071.409181996802</v>
      </c>
      <c r="AX8" s="18">
        <f t="shared" si="0"/>
        <v>1064.5961240010877</v>
      </c>
      <c r="AY8" s="18">
        <f t="shared" si="0"/>
        <v>4468672.0798879992</v>
      </c>
      <c r="AZ8" s="18">
        <f t="shared" si="0"/>
        <v>23756.924137323233</v>
      </c>
      <c r="BA8" s="18">
        <f t="shared" si="0"/>
        <v>206644.14072400684</v>
      </c>
      <c r="BB8" s="18">
        <f t="shared" si="0"/>
        <v>71559.682219991169</v>
      </c>
      <c r="BC8" s="18">
        <f t="shared" si="0"/>
        <v>272976.6568479985</v>
      </c>
      <c r="BD8" s="18">
        <f t="shared" si="0"/>
        <v>17441.355599989849</v>
      </c>
      <c r="BE8" s="18">
        <f t="shared" si="0"/>
        <v>256626.99715368054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4885909.5036820117</v>
      </c>
      <c r="BL8" s="18">
        <f t="shared" si="0"/>
        <v>115428.82527244606</v>
      </c>
      <c r="BM8" s="18">
        <f t="shared" si="0"/>
        <v>1094308.1487871634</v>
      </c>
      <c r="BN8" s="18">
        <f t="shared" si="0"/>
        <v>1247024.671657382</v>
      </c>
      <c r="BO8" s="18">
        <f t="shared" si="0"/>
        <v>3.4691202304202307E-3</v>
      </c>
      <c r="BP8" s="18">
        <f t="shared" si="0"/>
        <v>261.76801932906545</v>
      </c>
      <c r="BQ8" s="18">
        <f t="shared" si="0"/>
        <v>4.0128798844989433E-3</v>
      </c>
      <c r="BR8" s="18">
        <f t="shared" si="0"/>
        <v>1800054.7960000036</v>
      </c>
      <c r="BS8" s="18">
        <f t="shared" si="0"/>
        <v>7048131.3976754891</v>
      </c>
      <c r="BT8" s="18">
        <f t="shared" ref="BT8:CV8" si="1">BT5+BT6+BT7</f>
        <v>70840.304932017883</v>
      </c>
      <c r="BU8" s="18">
        <f t="shared" si="1"/>
        <v>287383.65494508873</v>
      </c>
      <c r="BV8" s="18">
        <f t="shared" si="1"/>
        <v>9298.8778600000005</v>
      </c>
      <c r="BW8" s="18">
        <f t="shared" si="1"/>
        <v>145166.891</v>
      </c>
      <c r="BX8" s="18">
        <f t="shared" si="1"/>
        <v>22663.665000000001</v>
      </c>
      <c r="BY8" s="18">
        <f>+BY5+BY6+BY7:BZ7</f>
        <v>588238.53994000051</v>
      </c>
      <c r="BZ8" s="18">
        <f t="shared" si="1"/>
        <v>2385408.9236099906</v>
      </c>
      <c r="CA8" s="18">
        <f t="shared" si="1"/>
        <v>1215283.4475599937</v>
      </c>
      <c r="CB8" s="18">
        <f t="shared" si="1"/>
        <v>20118.565999999999</v>
      </c>
      <c r="CC8" s="18">
        <f t="shared" si="1"/>
        <v>1112619.561</v>
      </c>
      <c r="CD8" s="18">
        <f t="shared" si="1"/>
        <v>0</v>
      </c>
      <c r="CE8" s="18">
        <f t="shared" si="1"/>
        <v>2.9999999933352228E-3</v>
      </c>
      <c r="CF8" s="18">
        <f t="shared" si="1"/>
        <v>565744.3946</v>
      </c>
      <c r="CG8" s="18">
        <f t="shared" si="1"/>
        <v>411151.19650000002</v>
      </c>
      <c r="CH8" s="18">
        <f t="shared" si="1"/>
        <v>2.9318200000000001</v>
      </c>
      <c r="CI8" s="18">
        <f t="shared" si="1"/>
        <v>827908.16343999922</v>
      </c>
      <c r="CJ8" s="18">
        <f t="shared" si="1"/>
        <v>104683.28303999978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14148.404510000371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479415374.60388541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v>1317491</v>
      </c>
      <c r="M11" s="26"/>
      <c r="N11" s="26"/>
      <c r="O11" s="26"/>
      <c r="P11" s="28">
        <v>7991.67</v>
      </c>
      <c r="Q11" s="26">
        <f>(P11*3844.47)/1000</f>
        <v>30723.735564899998</v>
      </c>
      <c r="R11" s="26">
        <v>7180</v>
      </c>
      <c r="S11" s="26">
        <f>(R11*3844.47)/1000</f>
        <v>27603.294599999997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1375818.0301649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>
        <v>10000000</v>
      </c>
      <c r="Q12" s="26">
        <f>(P12*3844.47)/1000</f>
        <v>38444700</v>
      </c>
      <c r="R12" s="26">
        <v>900000</v>
      </c>
      <c r="S12" s="26">
        <f>(R12*3844.47)/1000</f>
        <v>3460023</v>
      </c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41904723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>
        <v>-827014.18958999997</v>
      </c>
      <c r="M19" s="29">
        <v>-59958528.717</v>
      </c>
      <c r="N19" s="26"/>
      <c r="O19" s="26"/>
      <c r="P19" s="26">
        <v>-10500000</v>
      </c>
      <c r="Q19" s="26">
        <f>(P19*3844.47)/1000</f>
        <v>-40366935</v>
      </c>
      <c r="R19" s="26">
        <v>-900000</v>
      </c>
      <c r="S19" s="26">
        <f>(R19*3844.47)/1000</f>
        <v>-3460023</v>
      </c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-104612500.90659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/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0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-54510929.792000003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-54510929.792000003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28491689.706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28491689.706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>
        <v>73616393.968999997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73616393.968999997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>
        <f>-354075-57649.09</f>
        <v>-411724.08999999997</v>
      </c>
      <c r="Q26" s="26">
        <f>(P26*3844.47)/1000</f>
        <v>-1582860.9122822997</v>
      </c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-1582860.9122822997</v>
      </c>
    </row>
    <row r="27" spans="1:101" x14ac:dyDescent="0.3">
      <c r="A27" s="166"/>
      <c r="B27" s="24" t="s">
        <v>95</v>
      </c>
      <c r="C27" s="25" t="s">
        <v>114</v>
      </c>
      <c r="D27" s="26">
        <v>13000</v>
      </c>
      <c r="E27" s="29"/>
      <c r="F27" s="29"/>
      <c r="G27" s="26"/>
      <c r="H27" s="26"/>
      <c r="I27" s="26"/>
      <c r="J27" s="26"/>
      <c r="K27" s="26"/>
      <c r="L27" s="27">
        <f>25000000+2500000</f>
        <v>27500000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>
        <v>1800000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29313000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-18994000</v>
      </c>
      <c r="F28" s="26">
        <v>-7026000</v>
      </c>
      <c r="G28" s="26"/>
      <c r="H28" s="26"/>
      <c r="I28" s="26"/>
      <c r="J28" s="26"/>
      <c r="K28" s="26"/>
      <c r="L28" s="27"/>
      <c r="M28" s="26">
        <v>-13200000</v>
      </c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-39220000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380000-400000</f>
        <v>-20000</v>
      </c>
      <c r="W35" s="38">
        <f>(V35*3844.47)/1000</f>
        <v>-76889.399999999994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-76889.399999999994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v>-1974700</v>
      </c>
      <c r="M38" s="39">
        <v>-846300</v>
      </c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-2821000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>
        <v>-106950.39156</v>
      </c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4">
        <v>-1166.0250000000001</v>
      </c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-108116.41656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>
        <v>-8.8309999999999995</v>
      </c>
      <c r="AX47" s="49"/>
      <c r="AY47" s="49"/>
      <c r="AZ47" s="49"/>
      <c r="BA47" s="49"/>
      <c r="BB47" s="49"/>
      <c r="BC47" s="49"/>
      <c r="BD47" s="49"/>
      <c r="BE47" s="49">
        <v>-120000</v>
      </c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-120008.83100000001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-0.97399999999999998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-2.552</v>
      </c>
      <c r="BB50" s="49">
        <v>-0.88400000000000001</v>
      </c>
      <c r="BC50" s="49">
        <v>-3.371</v>
      </c>
      <c r="BD50" s="49">
        <v>-0.215</v>
      </c>
      <c r="BE50" s="49"/>
      <c r="BF50" s="49"/>
      <c r="BG50" s="49"/>
      <c r="BH50" s="49"/>
      <c r="BI50" s="49"/>
      <c r="BJ50" s="49"/>
      <c r="BK50" s="49"/>
      <c r="BL50" s="49">
        <v>-1.4950000000000001</v>
      </c>
      <c r="BM50" s="49">
        <v>-14.170999999999999</v>
      </c>
      <c r="BN50" s="49">
        <v>-16.146000000000001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-39.808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f>-645.194-0.01</f>
        <v>-645.20399999999995</v>
      </c>
      <c r="F51" s="49">
        <v>-55.19</v>
      </c>
      <c r="G51" s="49"/>
      <c r="H51" s="49"/>
      <c r="I51" s="49"/>
      <c r="J51" s="49"/>
      <c r="K51" s="48"/>
      <c r="L51" s="48">
        <v>-24.776</v>
      </c>
      <c r="M51" s="48">
        <v>-8.2590000000000003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-733.42899999999997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f>13.91689+0.01</f>
        <v>13.92689</v>
      </c>
      <c r="J52" s="49"/>
      <c r="K52" s="49"/>
      <c r="L52" s="48"/>
      <c r="M52" s="48"/>
      <c r="N52" s="49"/>
      <c r="O52" s="49"/>
      <c r="P52" s="49"/>
      <c r="Q52" s="49"/>
      <c r="R52" s="49">
        <v>216.18</v>
      </c>
      <c r="S52" s="49">
        <f>(R52*3844.47)/1000</f>
        <v>831.09752460000004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f>36.453+0.01</f>
        <v>36.463000000000001</v>
      </c>
      <c r="BB52" s="49">
        <v>12.624000000000001</v>
      </c>
      <c r="BC52" s="49">
        <f>48.155+0.01</f>
        <v>48.164999999999999</v>
      </c>
      <c r="BD52" s="49">
        <f>3.077+0.01</f>
        <v>3.0869999999999997</v>
      </c>
      <c r="BE52" s="49"/>
      <c r="BF52" s="49"/>
      <c r="BG52" s="49"/>
      <c r="BH52" s="49"/>
      <c r="BI52" s="49"/>
      <c r="BJ52" s="49"/>
      <c r="BK52" s="49"/>
      <c r="BL52" s="49">
        <f>21.35433+0.01</f>
        <v>21.364330000000002</v>
      </c>
      <c r="BM52" s="49">
        <v>202.447</v>
      </c>
      <c r="BN52" s="49">
        <v>230.65987000000001</v>
      </c>
      <c r="BO52" s="49"/>
      <c r="BP52" s="49">
        <f>48.42/1000</f>
        <v>4.8420000000000005E-2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1399.8830346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-430.38238224000003</v>
      </c>
      <c r="F53" s="49">
        <f>(F10+F13+F16+F17+F33+F38+F47+F35)*4/1000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-7898.8991040000001</v>
      </c>
      <c r="M53" s="48">
        <f>(M10+M13+M17+M33+M38+M40+M51+M36+M49+M16)*4/1000</f>
        <v>-3385.2330359999996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-4.6641000000000004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-3.5324000000000001E-2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-480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-12199.213946240001</v>
      </c>
    </row>
    <row r="54" spans="1:101" x14ac:dyDescent="0.3">
      <c r="C54" s="50" t="s">
        <v>141</v>
      </c>
      <c r="D54" s="51">
        <f t="shared" ref="D54:AM54" si="6">SUM(D9:D53)</f>
        <v>13000</v>
      </c>
      <c r="E54" s="51">
        <f t="shared" si="6"/>
        <v>-19102025.977942239</v>
      </c>
      <c r="F54" s="51">
        <f>SUM(F9:F53)</f>
        <v>-7026055.1900000004</v>
      </c>
      <c r="G54" s="51">
        <f t="shared" si="6"/>
        <v>0</v>
      </c>
      <c r="H54" s="51">
        <f t="shared" si="6"/>
        <v>0</v>
      </c>
      <c r="I54" s="51">
        <f t="shared" si="6"/>
        <v>12.95289</v>
      </c>
      <c r="J54" s="51">
        <f t="shared" si="6"/>
        <v>0</v>
      </c>
      <c r="K54" s="51">
        <f t="shared" si="6"/>
        <v>0</v>
      </c>
      <c r="L54" s="52">
        <f>SUM(L9:L53)</f>
        <v>-11386.950694002537</v>
      </c>
      <c r="M54" s="51">
        <f t="shared" si="6"/>
        <v>-391828.24003600341</v>
      </c>
      <c r="N54" s="51">
        <f t="shared" si="6"/>
        <v>0</v>
      </c>
      <c r="O54" s="51">
        <f t="shared" si="6"/>
        <v>0</v>
      </c>
      <c r="P54" s="51">
        <f t="shared" si="6"/>
        <v>-903732.42</v>
      </c>
      <c r="Q54" s="51">
        <f t="shared" si="6"/>
        <v>-3474372.1767173973</v>
      </c>
      <c r="R54" s="51">
        <f t="shared" si="6"/>
        <v>7396.18</v>
      </c>
      <c r="S54" s="51">
        <f t="shared" si="6"/>
        <v>28434.392124600141</v>
      </c>
      <c r="T54" s="51">
        <f t="shared" si="6"/>
        <v>0</v>
      </c>
      <c r="U54" s="51">
        <f t="shared" si="6"/>
        <v>0</v>
      </c>
      <c r="V54" s="51">
        <f t="shared" si="6"/>
        <v>-20000</v>
      </c>
      <c r="W54" s="51">
        <f t="shared" si="6"/>
        <v>-76889.399999999994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0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-1170.6891000000001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-8.8663239999999988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33.911000000000001</v>
      </c>
      <c r="BB54" s="51">
        <f t="shared" si="7"/>
        <v>11.74</v>
      </c>
      <c r="BC54" s="51">
        <f t="shared" si="7"/>
        <v>44.793999999999997</v>
      </c>
      <c r="BD54" s="51">
        <f t="shared" si="7"/>
        <v>2.8719999999999999</v>
      </c>
      <c r="BE54" s="51">
        <f t="shared" si="7"/>
        <v>-120480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19.869330000000001</v>
      </c>
      <c r="BM54" s="51">
        <f t="shared" si="7"/>
        <v>188.27600000000001</v>
      </c>
      <c r="BN54" s="51">
        <f t="shared" si="7"/>
        <v>214.51387</v>
      </c>
      <c r="BO54" s="51">
        <f t="shared" si="7"/>
        <v>0</v>
      </c>
      <c r="BP54" s="51">
        <f t="shared" si="7"/>
        <v>4.8420000000000005E-2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0</v>
      </c>
      <c r="CA54" s="51">
        <f t="shared" si="7"/>
        <v>1800000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-28362254.121179041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447268.98743994511</v>
      </c>
      <c r="E55" s="56">
        <f t="shared" si="8"/>
        <v>15364525.763824556</v>
      </c>
      <c r="F55" s="56">
        <f>+F8+F54</f>
        <v>5352617.4973643953</v>
      </c>
      <c r="G55" s="56">
        <f t="shared" si="8"/>
        <v>0</v>
      </c>
      <c r="H55" s="56">
        <f t="shared" si="8"/>
        <v>0</v>
      </c>
      <c r="I55" s="56">
        <f t="shared" si="8"/>
        <v>75239.399864578343</v>
      </c>
      <c r="J55" s="56">
        <f t="shared" si="8"/>
        <v>0</v>
      </c>
      <c r="K55" s="56">
        <f t="shared" si="8"/>
        <v>163081.68768414296</v>
      </c>
      <c r="L55" s="56">
        <f t="shared" si="8"/>
        <v>279206.44024602784</v>
      </c>
      <c r="M55" s="56">
        <f t="shared" si="8"/>
        <v>135594.45320347941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6652586.9534668662</v>
      </c>
      <c r="Q55" s="56">
        <f t="shared" si="8"/>
        <v>25959626.910803191</v>
      </c>
      <c r="R55" s="56">
        <f t="shared" si="8"/>
        <v>3116989.6245100005</v>
      </c>
      <c r="S55" s="56">
        <f t="shared" si="8"/>
        <v>12854527.335171627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52046370.969999991</v>
      </c>
      <c r="W55" s="56">
        <f t="shared" si="8"/>
        <v>206814599.36916798</v>
      </c>
      <c r="X55" s="56">
        <f t="shared" si="8"/>
        <v>2405509.0999999996</v>
      </c>
      <c r="Y55" s="56">
        <f t="shared" si="8"/>
        <v>9664866.7635749988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21297.839999997261</v>
      </c>
      <c r="AI55" s="56">
        <f t="shared" si="8"/>
        <v>122794.66363258875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15955097.461765243</v>
      </c>
      <c r="AM55" s="56">
        <f t="shared" si="8"/>
        <v>97498211.425815344</v>
      </c>
      <c r="AN55" s="56">
        <f t="shared" si="8"/>
        <v>4853701.1557200011</v>
      </c>
      <c r="AO55" s="56">
        <f t="shared" si="8"/>
        <v>882384.62845144002</v>
      </c>
      <c r="AP55" s="56">
        <f t="shared" si="8"/>
        <v>7620995.5088501452</v>
      </c>
      <c r="AQ55" s="56">
        <f t="shared" si="8"/>
        <v>1922212.297312163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52062.542857996799</v>
      </c>
      <c r="AX55" s="56">
        <f t="shared" si="8"/>
        <v>1064.5961240010877</v>
      </c>
      <c r="AY55" s="56">
        <f t="shared" si="8"/>
        <v>4468672.0798879992</v>
      </c>
      <c r="AZ55" s="56">
        <f t="shared" si="8"/>
        <v>23756.924137323233</v>
      </c>
      <c r="BA55" s="56">
        <f t="shared" si="8"/>
        <v>206678.05172400683</v>
      </c>
      <c r="BB55" s="56">
        <f t="shared" si="8"/>
        <v>71571.422219991175</v>
      </c>
      <c r="BC55" s="56">
        <f t="shared" si="8"/>
        <v>273021.45084799849</v>
      </c>
      <c r="BD55" s="56">
        <f t="shared" si="8"/>
        <v>17444.227599989848</v>
      </c>
      <c r="BE55" s="56">
        <f t="shared" si="8"/>
        <v>136146.99715368054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4885909.5036820117</v>
      </c>
      <c r="BL55" s="56">
        <f t="shared" si="8"/>
        <v>115448.69460244606</v>
      </c>
      <c r="BM55" s="56">
        <f t="shared" si="8"/>
        <v>1094496.4247871635</v>
      </c>
      <c r="BN55" s="56">
        <f t="shared" si="8"/>
        <v>1247239.185527382</v>
      </c>
      <c r="BO55" s="56">
        <f t="shared" si="8"/>
        <v>3.4691202304202307E-3</v>
      </c>
      <c r="BP55" s="56">
        <f t="shared" si="8"/>
        <v>261.81643932906547</v>
      </c>
      <c r="BQ55" s="56">
        <f t="shared" si="8"/>
        <v>4.0128798844989433E-3</v>
      </c>
      <c r="BR55" s="56">
        <f t="shared" si="8"/>
        <v>1800054.7960000036</v>
      </c>
      <c r="BS55" s="56">
        <f t="shared" si="8"/>
        <v>7048131.3976754891</v>
      </c>
      <c r="BT55" s="56">
        <f t="shared" ref="BT55:CV55" si="9">+BT8+BT54</f>
        <v>70840.304932017883</v>
      </c>
      <c r="BU55" s="56">
        <f t="shared" si="9"/>
        <v>287383.65494508873</v>
      </c>
      <c r="BV55" s="56">
        <f t="shared" si="9"/>
        <v>9298.8778600000005</v>
      </c>
      <c r="BW55" s="56">
        <f t="shared" si="9"/>
        <v>145166.891</v>
      </c>
      <c r="BX55" s="56">
        <f t="shared" si="9"/>
        <v>22663.665000000001</v>
      </c>
      <c r="BY55" s="56">
        <f t="shared" si="9"/>
        <v>588238.53994000051</v>
      </c>
      <c r="BZ55" s="56">
        <f t="shared" si="9"/>
        <v>2385408.9236099906</v>
      </c>
      <c r="CA55" s="56">
        <f t="shared" si="9"/>
        <v>3015283.4475599937</v>
      </c>
      <c r="CB55" s="56">
        <f t="shared" si="9"/>
        <v>20118.565999999999</v>
      </c>
      <c r="CC55" s="56">
        <f t="shared" si="9"/>
        <v>1112619.561</v>
      </c>
      <c r="CD55" s="56">
        <f t="shared" si="9"/>
        <v>0</v>
      </c>
      <c r="CE55" s="56">
        <f t="shared" si="9"/>
        <v>2.9999999933352228E-3</v>
      </c>
      <c r="CF55" s="56">
        <f t="shared" si="9"/>
        <v>565744.3946</v>
      </c>
      <c r="CG55" s="56">
        <f t="shared" si="9"/>
        <v>411151.19650000002</v>
      </c>
      <c r="CH55" s="56">
        <f t="shared" si="9"/>
        <v>2.9318200000000001</v>
      </c>
      <c r="CI55" s="56">
        <f t="shared" si="9"/>
        <v>827908.16343999922</v>
      </c>
      <c r="CJ55" s="56">
        <f t="shared" si="9"/>
        <v>104683.28303999978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14148.404510000371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451053120.48270625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67"/>
      <c r="O57" s="67"/>
      <c r="P57" s="151"/>
      <c r="Q57" s="71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O58" s="67"/>
      <c r="P58" s="152"/>
      <c r="Q58" s="71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N59" s="71"/>
      <c r="O59" s="67"/>
      <c r="P59" s="152"/>
      <c r="Q59" s="71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174701624.70516491</v>
      </c>
      <c r="E60" s="71"/>
      <c r="F60" s="84" t="s">
        <v>49</v>
      </c>
      <c r="G60" s="84" t="s">
        <v>149</v>
      </c>
      <c r="H60" s="85"/>
      <c r="I60" s="86"/>
      <c r="J60" s="57"/>
      <c r="N60" s="71"/>
      <c r="O60" s="67"/>
      <c r="P60" s="152"/>
      <c r="Q60" s="71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28491689.706</v>
      </c>
      <c r="E61" s="67" t="s">
        <v>205</v>
      </c>
      <c r="F61" s="89" t="s">
        <v>151</v>
      </c>
      <c r="G61" s="90">
        <f>N55</f>
        <v>120822.5199999999</v>
      </c>
      <c r="H61" s="85"/>
      <c r="I61" s="86"/>
      <c r="J61" s="57"/>
      <c r="N61" s="67"/>
      <c r="O61" s="67"/>
      <c r="P61" s="152"/>
      <c r="Q61" s="71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1375818.0301649</v>
      </c>
      <c r="E62" s="67" t="s">
        <v>205</v>
      </c>
      <c r="F62" s="89" t="s">
        <v>153</v>
      </c>
      <c r="G62" s="91">
        <f>P55</f>
        <v>6652586.9534668662</v>
      </c>
      <c r="H62" s="92"/>
      <c r="I62" s="86"/>
      <c r="J62" s="66"/>
      <c r="N62" s="67"/>
      <c r="O62" s="67"/>
      <c r="P62" s="152"/>
      <c r="Q62" s="71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29313000</v>
      </c>
      <c r="E63" s="67" t="s">
        <v>205</v>
      </c>
      <c r="F63" s="89" t="s">
        <v>155</v>
      </c>
      <c r="G63" s="91">
        <f>R55</f>
        <v>3116989.6245100005</v>
      </c>
      <c r="H63" s="93"/>
      <c r="I63" s="94"/>
      <c r="J63" s="57"/>
      <c r="N63" s="153"/>
      <c r="O63" s="153"/>
      <c r="P63" s="151"/>
      <c r="Q63" s="71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115521116.969</v>
      </c>
      <c r="E64" s="67" t="s">
        <v>205</v>
      </c>
      <c r="H64" s="57"/>
      <c r="I64" s="77"/>
      <c r="J64" s="66"/>
      <c r="N64" s="153"/>
      <c r="O64" s="153"/>
      <c r="P64" s="152"/>
      <c r="Q64" s="71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153"/>
      <c r="O65" s="153"/>
      <c r="P65" s="152"/>
      <c r="Q65" s="71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152"/>
      <c r="Q66" s="71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71"/>
      <c r="Q67" s="71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52046370.969999991</v>
      </c>
      <c r="H68" s="57"/>
      <c r="I68" s="98"/>
      <c r="J68" s="108"/>
      <c r="M68" s="101"/>
      <c r="N68" s="101"/>
      <c r="O68" s="69"/>
      <c r="P68" s="6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2405509.0999999996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-202855408.02743232</v>
      </c>
      <c r="E73" s="71"/>
      <c r="F73" s="114" t="s">
        <v>163</v>
      </c>
      <c r="G73" s="115">
        <f>L55*1000</f>
        <v>279206440.24602783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135594453.20347941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-104612500.90659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-54510929.792000003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-40802860.912282303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-2821000</v>
      </c>
      <c r="E81" s="101" t="s">
        <v>205</v>
      </c>
      <c r="F81" s="128" t="s">
        <v>172</v>
      </c>
      <c r="G81" s="126">
        <f>AH55</f>
        <v>21297.839999997261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-108116.41656</v>
      </c>
      <c r="E82" s="71" t="s">
        <v>205</v>
      </c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206644.14072400684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36.463000000000001</v>
      </c>
      <c r="L92" s="143">
        <f>BA50+BA51+BA53+BA40+BA42+BA43+BA45</f>
        <v>-2.552</v>
      </c>
      <c r="M92" s="144">
        <f t="shared" si="10"/>
        <v>206678.05172400683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256626.99715368054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-480</v>
      </c>
      <c r="M93" s="144">
        <f t="shared" si="10"/>
        <v>256146.99715368054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52071.409181996802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-3.5324000000000001E-2</v>
      </c>
      <c r="M94" s="144">
        <f t="shared" si="10"/>
        <v>52071.373857996805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272976.6568479985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48.164999999999999</v>
      </c>
      <c r="L98" s="143">
        <f>BC50+BC51+BC53+BC40+BC42+BC43+BC45</f>
        <v>-3.371</v>
      </c>
      <c r="M98" s="144">
        <f t="shared" si="10"/>
        <v>273021.45084799849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71559.682219991169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12.624000000000001</v>
      </c>
      <c r="L99" s="143">
        <f>BB50+BB51+BB53+BB40+BB42+BB43+BB45</f>
        <v>-0.88400000000000001</v>
      </c>
      <c r="M99" s="144">
        <f t="shared" si="10"/>
        <v>71571.42221999116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17441.355599989849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3.0869999999999997</v>
      </c>
      <c r="L104" s="143">
        <f>BD50+BD51+BD53+BD40+BD42+BD43+BD45</f>
        <v>-0.215</v>
      </c>
      <c r="M104" s="144">
        <f t="shared" si="10"/>
        <v>17444.227599989848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4468672.0798879992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4468672.0798879992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573414.81432367931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36.463000000000001</v>
      </c>
      <c r="L108" s="98">
        <f t="shared" si="11"/>
        <v>-482.58732400000002</v>
      </c>
      <c r="M108" s="98">
        <f t="shared" si="11"/>
        <v>572968.68999967922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848173.99777235277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60.789000000000001</v>
      </c>
      <c r="L109" s="98">
        <f t="shared" si="12"/>
        <v>-4.2549999999999999</v>
      </c>
      <c r="M109" s="98">
        <f t="shared" si="12"/>
        <v>848230.53177235276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4746087.0119914291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3.0869999999999997</v>
      </c>
      <c r="L110" s="98">
        <f t="shared" si="13"/>
        <v>-0.215</v>
      </c>
      <c r="M110" s="98">
        <f t="shared" si="13"/>
        <v>4746089.8839914296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9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24'!D55</f>
        <v>447268.98743994511</v>
      </c>
      <c r="E5" s="18">
        <f>'SEP 24'!E55</f>
        <v>15364525.763824556</v>
      </c>
      <c r="F5" s="18">
        <f>'SEP 24'!F55</f>
        <v>5352617.4973643953</v>
      </c>
      <c r="G5" s="18">
        <f>'SEP 24'!G55</f>
        <v>0</v>
      </c>
      <c r="H5" s="18">
        <f>'SEP 24'!H55</f>
        <v>0</v>
      </c>
      <c r="I5" s="18">
        <f>'SEP 24'!I55</f>
        <v>75239.399864578343</v>
      </c>
      <c r="J5" s="18">
        <f>'SEP 24'!J55</f>
        <v>0</v>
      </c>
      <c r="K5" s="18">
        <f>'SEP 24'!K55</f>
        <v>163081.68768414296</v>
      </c>
      <c r="L5" s="18">
        <f>'SEP 24'!L55</f>
        <v>279206.44024602784</v>
      </c>
      <c r="M5" s="18">
        <f>'SEP 24'!M55</f>
        <v>135594.45320347941</v>
      </c>
      <c r="N5" s="18">
        <f>'SEP 24'!N55</f>
        <v>120822.5199999999</v>
      </c>
      <c r="O5" s="18">
        <f>'SEP 24'!O55</f>
        <v>485514.42259319959</v>
      </c>
      <c r="P5" s="18">
        <f>'SEP 24'!P55</f>
        <v>6652586.9534668662</v>
      </c>
      <c r="Q5" s="18">
        <f>'SEP 24'!Q55</f>
        <v>25959626.910803191</v>
      </c>
      <c r="R5" s="18">
        <f>'SEP 24'!R55</f>
        <v>3116989.6245100005</v>
      </c>
      <c r="S5" s="18">
        <f>'SEP 24'!S55</f>
        <v>12854527.335171627</v>
      </c>
      <c r="T5" s="18">
        <f>'SEP 24'!T55</f>
        <v>56575.250000000007</v>
      </c>
      <c r="U5" s="18">
        <f>'SEP 24'!U55</f>
        <v>227353.77856949999</v>
      </c>
      <c r="V5" s="18">
        <f>'SEP 24'!V55</f>
        <v>52046370.969999991</v>
      </c>
      <c r="W5" s="18">
        <f>'SEP 24'!W55</f>
        <v>206814599.36916798</v>
      </c>
      <c r="X5" s="18">
        <f>'SEP 24'!X55</f>
        <v>2405509.0999999996</v>
      </c>
      <c r="Y5" s="18">
        <f>'SEP 24'!Y55</f>
        <v>9664866.7635749988</v>
      </c>
      <c r="Z5" s="18">
        <f>'SEP 24'!Z55</f>
        <v>9662.5274983807467</v>
      </c>
      <c r="AA5" s="18">
        <f>'SEP 24'!AA55</f>
        <v>38827.997124768175</v>
      </c>
      <c r="AB5" s="18">
        <f>'SEP 24'!AB55</f>
        <v>7542.7499999967404</v>
      </c>
      <c r="AC5" s="18">
        <f>'SEP 24'!AC55</f>
        <v>30309.862027486903</v>
      </c>
      <c r="AD5" s="18">
        <f>'SEP 24'!AD55</f>
        <v>5155</v>
      </c>
      <c r="AE5" s="18">
        <f>'SEP 24'!AE55</f>
        <v>20714.903549999999</v>
      </c>
      <c r="AF5" s="18">
        <f>'SEP 24'!AF55</f>
        <v>7956.8699999451637</v>
      </c>
      <c r="AG5" s="18">
        <f>'SEP 24'!AG55</f>
        <v>31973.965976479645</v>
      </c>
      <c r="AH5" s="18">
        <f>'SEP 24'!AH55</f>
        <v>21297.839999997261</v>
      </c>
      <c r="AI5" s="18">
        <f>'SEP 24'!AI55</f>
        <v>122794.66363258875</v>
      </c>
      <c r="AJ5" s="18">
        <f>'SEP 24'!AJ55</f>
        <v>675895.70999999822</v>
      </c>
      <c r="AK5" s="18">
        <f>'SEP 24'!AK55</f>
        <v>2716026.0800210927</v>
      </c>
      <c r="AL5" s="18">
        <f>'SEP 24'!AL55</f>
        <v>15955097.461765243</v>
      </c>
      <c r="AM5" s="18">
        <f>'SEP 24'!AM55</f>
        <v>97498211.425815344</v>
      </c>
      <c r="AN5" s="18">
        <f>'SEP 24'!AN55</f>
        <v>4853701.1557200011</v>
      </c>
      <c r="AO5" s="18">
        <f>'SEP 24'!AO55</f>
        <v>882384.62845144002</v>
      </c>
      <c r="AP5" s="18">
        <f>'SEP 24'!AP55</f>
        <v>7620995.5088501452</v>
      </c>
      <c r="AQ5" s="18">
        <f>'SEP 24'!AQ55</f>
        <v>1922212.297312163</v>
      </c>
      <c r="AR5" s="18">
        <f>'SEP 24'!AR55</f>
        <v>33467.106463993005</v>
      </c>
      <c r="AS5" s="18">
        <f>'SEP 24'!AS55</f>
        <v>6.3419079996137473</v>
      </c>
      <c r="AT5" s="18">
        <f>'SEP 24'!AT55</f>
        <v>11.326432002509915</v>
      </c>
      <c r="AU5" s="18">
        <f>'SEP 24'!AU55</f>
        <v>70852.565203997277</v>
      </c>
      <c r="AV5" s="18">
        <f>'SEP 24'!AV55</f>
        <v>529097.77060280275</v>
      </c>
      <c r="AW5" s="18">
        <f>'SEP 24'!AW55</f>
        <v>52062.542857996799</v>
      </c>
      <c r="AX5" s="18">
        <f>'SEP 24'!AX55</f>
        <v>1064.5961240010877</v>
      </c>
      <c r="AY5" s="18">
        <f>'SEP 24'!AY55</f>
        <v>4468672.0798879992</v>
      </c>
      <c r="AZ5" s="18">
        <f>'SEP 24'!AZ55</f>
        <v>23756.924137323233</v>
      </c>
      <c r="BA5" s="18">
        <f>'SEP 24'!BA55</f>
        <v>206678.05172400683</v>
      </c>
      <c r="BB5" s="18">
        <f>'SEP 24'!BB55</f>
        <v>71571.422219991175</v>
      </c>
      <c r="BC5" s="18">
        <f>'SEP 24'!BC55</f>
        <v>273021.45084799849</v>
      </c>
      <c r="BD5" s="18">
        <f>'SEP 24'!BD55</f>
        <v>17444.227599989848</v>
      </c>
      <c r="BE5" s="18">
        <f>'SEP 24'!BE55</f>
        <v>136146.99715368054</v>
      </c>
      <c r="BF5" s="18">
        <f>'SEP 24'!BF55</f>
        <v>294827.49323035986</v>
      </c>
      <c r="BG5" s="18">
        <f>'SEP 24'!BG55</f>
        <v>35110.408018882757</v>
      </c>
      <c r="BH5" s="18">
        <f>'SEP 24'!BH55</f>
        <v>24605.160800002101</v>
      </c>
      <c r="BI5" s="18">
        <f>'SEP 24'!BI55</f>
        <v>207727.90101</v>
      </c>
      <c r="BJ5" s="18">
        <f>'SEP 24'!BJ55</f>
        <v>154010.6032805602</v>
      </c>
      <c r="BK5" s="18">
        <f>'SEP 24'!BK55</f>
        <v>4885909.5036820117</v>
      </c>
      <c r="BL5" s="18">
        <f>'SEP 24'!BL55</f>
        <v>115448.69460244606</v>
      </c>
      <c r="BM5" s="18">
        <f>'SEP 24'!BM55</f>
        <v>1094496.4247871635</v>
      </c>
      <c r="BN5" s="18">
        <f>'SEP 24'!BN55</f>
        <v>1247239.185527382</v>
      </c>
      <c r="BO5" s="18">
        <f>'SEP 24'!BO55</f>
        <v>3.4691202304202307E-3</v>
      </c>
      <c r="BP5" s="18">
        <f>'SEP 24'!BP55</f>
        <v>261.81643932906547</v>
      </c>
      <c r="BQ5" s="18">
        <f>'SEP 24'!BQ55</f>
        <v>4.0128798844989433E-3</v>
      </c>
      <c r="BR5" s="18">
        <f>'SEP 24'!BR55</f>
        <v>1800054.7960000036</v>
      </c>
      <c r="BS5" s="18">
        <f>'SEP 24'!BS55</f>
        <v>7048131.3976754891</v>
      </c>
      <c r="BT5" s="18">
        <f>'SEP 24'!BT55</f>
        <v>70840.304932017883</v>
      </c>
      <c r="BU5" s="18">
        <f>'SEP 24'!BU55</f>
        <v>287383.65494508873</v>
      </c>
      <c r="BV5" s="18">
        <f>'SEP 24'!BV55</f>
        <v>9298.8778600000005</v>
      </c>
      <c r="BW5" s="18">
        <f>'SEP 24'!BW55</f>
        <v>145166.891</v>
      </c>
      <c r="BX5" s="18">
        <f>'SEP 24'!BX55</f>
        <v>22663.665000000001</v>
      </c>
      <c r="BY5" s="18">
        <f>'SEP 24'!BY55</f>
        <v>588238.53994000051</v>
      </c>
      <c r="BZ5" s="18">
        <f>'SEP 24'!BZ55</f>
        <v>2385408.9236099906</v>
      </c>
      <c r="CA5" s="18">
        <f>'SEP 24'!CA55</f>
        <v>3015283.4475599937</v>
      </c>
      <c r="CB5" s="18">
        <f>'SEP 24'!CB55</f>
        <v>20118.565999999999</v>
      </c>
      <c r="CC5" s="18">
        <f>'SEP 24'!CC55</f>
        <v>1112619.561</v>
      </c>
      <c r="CD5" s="18">
        <f>'SEP 24'!CD55</f>
        <v>0</v>
      </c>
      <c r="CE5" s="18">
        <f>'SEP 24'!CE55</f>
        <v>2.9999999933352228E-3</v>
      </c>
      <c r="CF5" s="18">
        <f>'SEP 24'!CF55</f>
        <v>565744.3946</v>
      </c>
      <c r="CG5" s="18">
        <f>'SEP 24'!CG55</f>
        <v>411151.19650000002</v>
      </c>
      <c r="CH5" s="18">
        <f>'SEP 24'!CH55</f>
        <v>2.9318200000000001</v>
      </c>
      <c r="CI5" s="18">
        <f>'SEP 24'!CI55</f>
        <v>827908.16343999922</v>
      </c>
      <c r="CJ5" s="18">
        <f>'SEP 24'!CJ55</f>
        <v>104683.28303999978</v>
      </c>
      <c r="CK5" s="18">
        <f>'SEP 24'!CK55</f>
        <v>0</v>
      </c>
      <c r="CL5" s="18">
        <f>'SEP 24'!CL55</f>
        <v>0</v>
      </c>
      <c r="CM5" s="18">
        <f>'SEP 24'!CM55</f>
        <v>79545.207070000004</v>
      </c>
      <c r="CN5" s="18">
        <f>'SEP 24'!CN55</f>
        <v>647657.33605000004</v>
      </c>
      <c r="CO5" s="18">
        <f>'SEP 24'!CO55</f>
        <v>736464.8368199995</v>
      </c>
      <c r="CP5" s="18">
        <f>'SEP 24'!CP55</f>
        <v>9152723.6727600005</v>
      </c>
      <c r="CQ5" s="18">
        <f>'SEP 24'!CQ55</f>
        <v>377715.39094000001</v>
      </c>
      <c r="CR5" s="18">
        <f>'SEP 24'!CR55</f>
        <v>14148.404510000371</v>
      </c>
      <c r="CS5" s="18">
        <f>'SEP 24'!CS55</f>
        <v>5013.4199999999992</v>
      </c>
      <c r="CT5" s="18">
        <f>'SEP 24'!CT55</f>
        <v>20149.387893799994</v>
      </c>
      <c r="CU5" s="18">
        <f>'SEP 24'!CU55</f>
        <v>5013.4199999999992</v>
      </c>
      <c r="CV5" s="18">
        <f>'SEP 24'!CV55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451053120.48270625</v>
      </c>
    </row>
    <row r="6" spans="1:101" s="20" customFormat="1" x14ac:dyDescent="0.3">
      <c r="A6" s="173"/>
      <c r="B6" s="19"/>
      <c r="C6" s="19" t="s">
        <v>91</v>
      </c>
      <c r="D6" s="19">
        <v>5814.8776200000002</v>
      </c>
      <c r="E6" s="19">
        <v>5011648.8213299988</v>
      </c>
      <c r="F6" s="19">
        <v>-1033936.4795799982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149048.94</v>
      </c>
      <c r="BU6" s="19">
        <v>578497.68886440003</v>
      </c>
      <c r="BV6" s="19">
        <v>0</v>
      </c>
      <c r="BW6" s="19">
        <v>-1.75700000001234</v>
      </c>
      <c r="BX6" s="19">
        <v>0</v>
      </c>
      <c r="BY6" s="19">
        <v>-295.87200000004759</v>
      </c>
      <c r="BZ6" s="19">
        <v>-1725773.4744700002</v>
      </c>
      <c r="CA6" s="19">
        <v>-1518303.7050000005</v>
      </c>
      <c r="CB6" s="19">
        <v>0</v>
      </c>
      <c r="CC6" s="19">
        <v>0</v>
      </c>
      <c r="CD6" s="19">
        <v>0</v>
      </c>
      <c r="CE6" s="19">
        <v>0</v>
      </c>
      <c r="CF6" s="19">
        <v>23963.917000000016</v>
      </c>
      <c r="CG6" s="19">
        <v>213.42199999996228</v>
      </c>
      <c r="CH6" s="19">
        <v>0</v>
      </c>
      <c r="CI6" s="19">
        <v>93.346000000019558</v>
      </c>
      <c r="CJ6" s="19">
        <v>9409.1259999999893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453083.86505994509</v>
      </c>
      <c r="E8" s="18">
        <f t="shared" si="0"/>
        <v>20376174.585154556</v>
      </c>
      <c r="F8" s="18">
        <f t="shared" si="0"/>
        <v>4318681.0177843971</v>
      </c>
      <c r="G8" s="18">
        <f t="shared" si="0"/>
        <v>0</v>
      </c>
      <c r="H8" s="18">
        <f t="shared" si="0"/>
        <v>0</v>
      </c>
      <c r="I8" s="18">
        <f t="shared" si="0"/>
        <v>75239.399864578343</v>
      </c>
      <c r="J8" s="18">
        <f t="shared" si="0"/>
        <v>0</v>
      </c>
      <c r="K8" s="18">
        <f t="shared" si="0"/>
        <v>163081.68768414296</v>
      </c>
      <c r="L8" s="18">
        <f t="shared" si="0"/>
        <v>279206.44024602784</v>
      </c>
      <c r="M8" s="18">
        <f t="shared" si="0"/>
        <v>135594.45320347941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6652586.9534668662</v>
      </c>
      <c r="Q8" s="18">
        <f t="shared" si="0"/>
        <v>25959626.910803191</v>
      </c>
      <c r="R8" s="18">
        <f t="shared" si="0"/>
        <v>3116989.6245100005</v>
      </c>
      <c r="S8" s="18">
        <f t="shared" si="0"/>
        <v>12854527.335171627</v>
      </c>
      <c r="T8" s="18">
        <f t="shared" si="0"/>
        <v>56575.250000000007</v>
      </c>
      <c r="U8" s="18">
        <f t="shared" si="0"/>
        <v>227353.77856949999</v>
      </c>
      <c r="V8" s="18">
        <f t="shared" si="0"/>
        <v>52046370.969999991</v>
      </c>
      <c r="W8" s="18">
        <f t="shared" si="0"/>
        <v>206814599.36916798</v>
      </c>
      <c r="X8" s="18">
        <f t="shared" si="0"/>
        <v>2405509.0999999996</v>
      </c>
      <c r="Y8" s="18">
        <f t="shared" si="0"/>
        <v>9664866.7635749988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21297.839999997261</v>
      </c>
      <c r="AI8" s="18">
        <f t="shared" si="0"/>
        <v>122794.66363258875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15955097.461765243</v>
      </c>
      <c r="AM8" s="18">
        <f t="shared" si="0"/>
        <v>97498211.425815344</v>
      </c>
      <c r="AN8" s="18">
        <f t="shared" si="0"/>
        <v>4853701.1557200011</v>
      </c>
      <c r="AO8" s="18">
        <f t="shared" si="0"/>
        <v>882384.62845144002</v>
      </c>
      <c r="AP8" s="18">
        <f t="shared" si="0"/>
        <v>7620995.5088501452</v>
      </c>
      <c r="AQ8" s="18">
        <f t="shared" si="0"/>
        <v>1922212.297312163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52062.542857996799</v>
      </c>
      <c r="AX8" s="18">
        <f t="shared" si="0"/>
        <v>1064.5961240010877</v>
      </c>
      <c r="AY8" s="18">
        <f t="shared" si="0"/>
        <v>4468672.0798879992</v>
      </c>
      <c r="AZ8" s="18">
        <f t="shared" si="0"/>
        <v>23756.924137323233</v>
      </c>
      <c r="BA8" s="18">
        <f t="shared" si="0"/>
        <v>206678.05172400683</v>
      </c>
      <c r="BB8" s="18">
        <f t="shared" si="0"/>
        <v>71571.422219991175</v>
      </c>
      <c r="BC8" s="18">
        <f t="shared" si="0"/>
        <v>273021.45084799849</v>
      </c>
      <c r="BD8" s="18">
        <f t="shared" si="0"/>
        <v>17444.227599989848</v>
      </c>
      <c r="BE8" s="18">
        <f t="shared" si="0"/>
        <v>136146.99715368054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4885909.5036820117</v>
      </c>
      <c r="BL8" s="18">
        <f t="shared" si="0"/>
        <v>115448.69460244606</v>
      </c>
      <c r="BM8" s="18">
        <f t="shared" si="0"/>
        <v>1094496.4247871635</v>
      </c>
      <c r="BN8" s="18">
        <f t="shared" si="0"/>
        <v>1247239.185527382</v>
      </c>
      <c r="BO8" s="18">
        <f t="shared" si="0"/>
        <v>3.4691202304202307E-3</v>
      </c>
      <c r="BP8" s="18">
        <f t="shared" si="0"/>
        <v>261.81643932906547</v>
      </c>
      <c r="BQ8" s="18">
        <f t="shared" si="0"/>
        <v>4.0128798844989433E-3</v>
      </c>
      <c r="BR8" s="18">
        <f t="shared" si="0"/>
        <v>1800054.7960000036</v>
      </c>
      <c r="BS8" s="18">
        <f t="shared" si="0"/>
        <v>7048131.3976754891</v>
      </c>
      <c r="BT8" s="18">
        <f t="shared" ref="BT8:CV8" si="1">BT5+BT6+BT7</f>
        <v>219889.24493201787</v>
      </c>
      <c r="BU8" s="18">
        <f t="shared" si="1"/>
        <v>865881.3438094887</v>
      </c>
      <c r="BV8" s="18">
        <f t="shared" si="1"/>
        <v>9298.8778600000005</v>
      </c>
      <c r="BW8" s="18">
        <f t="shared" si="1"/>
        <v>145165.13399999999</v>
      </c>
      <c r="BX8" s="18">
        <f t="shared" si="1"/>
        <v>22663.665000000001</v>
      </c>
      <c r="BY8" s="18">
        <f>+BY5+BY6+BY7:BZ7</f>
        <v>587942.66794000042</v>
      </c>
      <c r="BZ8" s="18">
        <f t="shared" si="1"/>
        <v>659635.44913999038</v>
      </c>
      <c r="CA8" s="18">
        <f t="shared" si="1"/>
        <v>1496979.7425599932</v>
      </c>
      <c r="CB8" s="18">
        <f t="shared" si="1"/>
        <v>20118.565999999999</v>
      </c>
      <c r="CC8" s="18">
        <f t="shared" si="1"/>
        <v>1112619.561</v>
      </c>
      <c r="CD8" s="18">
        <f t="shared" si="1"/>
        <v>0</v>
      </c>
      <c r="CE8" s="18">
        <f t="shared" si="1"/>
        <v>2.9999999933352228E-3</v>
      </c>
      <c r="CF8" s="18">
        <f t="shared" si="1"/>
        <v>589708.31160000002</v>
      </c>
      <c r="CG8" s="18">
        <f t="shared" si="1"/>
        <v>411364.61849999998</v>
      </c>
      <c r="CH8" s="18">
        <f t="shared" si="1"/>
        <v>2.9318200000000001</v>
      </c>
      <c r="CI8" s="18">
        <f t="shared" si="1"/>
        <v>828001.50943999924</v>
      </c>
      <c r="CJ8" s="18">
        <f t="shared" si="1"/>
        <v>114092.40903999977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14148.404510000371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452404450.39347076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44462+270000</f>
        <v>314462</v>
      </c>
      <c r="M11" s="26">
        <f>111155+27000+1005.61029</f>
        <v>139160.61029000001</v>
      </c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453622.61028999998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>
        <v>13048.95588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13048.95588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9">
        <v>13264.199000000001</v>
      </c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13264.199000000001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9">
        <v>-13264.199000000001</v>
      </c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-13264.199000000001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/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0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-53126944.788000003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-53126944.788000003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0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>
        <v>59753021.329999998</v>
      </c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59753021.329999998</v>
      </c>
    </row>
    <row r="25" spans="1:101" x14ac:dyDescent="0.3">
      <c r="A25" s="166"/>
      <c r="B25" s="24" t="s">
        <v>95</v>
      </c>
      <c r="C25" s="25" t="s">
        <v>112</v>
      </c>
      <c r="D25" s="26"/>
      <c r="E25" s="26">
        <v>1975167.56767</v>
      </c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1975167.56767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5000</v>
      </c>
      <c r="E27" s="29"/>
      <c r="F27" s="29">
        <v>4670000</v>
      </c>
      <c r="G27" s="26"/>
      <c r="H27" s="26"/>
      <c r="I27" s="26"/>
      <c r="J27" s="26"/>
      <c r="K27" s="26"/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1500000</v>
      </c>
      <c r="CA27" s="26">
        <v>2700000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8875000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>
        <v>-13015000</v>
      </c>
      <c r="F28" s="26"/>
      <c r="G28" s="26"/>
      <c r="H28" s="26"/>
      <c r="I28" s="26"/>
      <c r="J28" s="26"/>
      <c r="K28" s="26"/>
      <c r="L28" s="27">
        <v>-6450000</v>
      </c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-19465000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-1310000-1220000</f>
        <v>-2530000</v>
      </c>
      <c r="W35" s="38">
        <f>(V35*3881.26)/1000</f>
        <v>-9819587.8000000007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-9819587.8000000007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v>-566954.94033000001</v>
      </c>
      <c r="M38" s="39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-566954.94033000001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>
        <f>-251365.7076-528541.93813-746968.99342</f>
        <v>-1526876.6391499999</v>
      </c>
      <c r="F40" s="44">
        <v>-514638.462</v>
      </c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-2041515.10115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>
        <v>-8.8309999999999995</v>
      </c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-8.8309999999999995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>
        <f>269452.045+395269.719</f>
        <v>664721.76399999997</v>
      </c>
      <c r="M48" s="48">
        <f>1308304.946+1581215.869+3058949.414</f>
        <v>5948470.2290000003</v>
      </c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6613191.9930000007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f>-0.974-0.01</f>
        <v>-0.98399999999999999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f>-2.552-0.01</f>
        <v>-2.5619999999999998</v>
      </c>
      <c r="BB50" s="49">
        <v>-0.88400000000000001</v>
      </c>
      <c r="BC50" s="49">
        <v>-3.371</v>
      </c>
      <c r="BD50" s="49">
        <v>-0.215</v>
      </c>
      <c r="BE50" s="49"/>
      <c r="BF50" s="49"/>
      <c r="BG50" s="49"/>
      <c r="BH50" s="49"/>
      <c r="BI50" s="49"/>
      <c r="BJ50" s="49"/>
      <c r="BK50" s="49"/>
      <c r="BL50" s="49">
        <f>-1.495-0.01</f>
        <v>-1.5050000000000001</v>
      </c>
      <c r="BM50" s="49">
        <v>-14.173999999999999</v>
      </c>
      <c r="BN50" s="49">
        <v>-16.149000000000001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-39.844000000000001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-625.74900000000002</v>
      </c>
      <c r="F51" s="49"/>
      <c r="G51" s="49"/>
      <c r="H51" s="49"/>
      <c r="I51" s="49"/>
      <c r="J51" s="49"/>
      <c r="K51" s="48"/>
      <c r="L51" s="48">
        <f>-20.646-0.01</f>
        <v>-20.656000000000002</v>
      </c>
      <c r="M51" s="48">
        <v>-12.388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-658.79300000000001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13.919280000000001</v>
      </c>
      <c r="J52" s="49"/>
      <c r="K52" s="49"/>
      <c r="L52" s="48"/>
      <c r="M52" s="48"/>
      <c r="N52" s="49"/>
      <c r="O52" s="49"/>
      <c r="P52" s="49"/>
      <c r="Q52" s="49"/>
      <c r="R52" s="49">
        <v>216.69</v>
      </c>
      <c r="S52" s="49">
        <f>(R52*3881.26)/1000</f>
        <v>841.03022940000005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36.459000000000003</v>
      </c>
      <c r="BB52" s="49">
        <v>12.625999999999999</v>
      </c>
      <c r="BC52" s="49">
        <v>48.161999999999999</v>
      </c>
      <c r="BD52" s="49">
        <v>3.077</v>
      </c>
      <c r="BE52" s="49"/>
      <c r="BF52" s="49"/>
      <c r="BG52" s="49"/>
      <c r="BH52" s="49"/>
      <c r="BI52" s="49"/>
      <c r="BJ52" s="49"/>
      <c r="BK52" s="49"/>
      <c r="BL52" s="49">
        <v>21.358000000000001</v>
      </c>
      <c r="BM52" s="49">
        <v>202.48183</v>
      </c>
      <c r="BN52" s="49">
        <f>230.69956-214.52</f>
        <v>16.179559999999981</v>
      </c>
      <c r="BO52" s="49"/>
      <c r="BP52" s="49">
        <f>48.43/1000+0.01</f>
        <v>5.8430000000000003E-2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1195.3513293999999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-6110.0095526000005</v>
      </c>
      <c r="F53" s="49">
        <f>(F10+F13+F16+F17+F33+F38+F47+F35)*4/1000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-2267.9023853199997</v>
      </c>
      <c r="M53" s="48">
        <f>(M10+M13+M17+M33+M38+M40+M51+M36+M49+M16)*4/1000</f>
        <v>-4.9551999999999999E-2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-53.056796000000006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-3.5324000000000001E-2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-8431.0536099200017</v>
      </c>
    </row>
    <row r="54" spans="1:101" x14ac:dyDescent="0.3">
      <c r="C54" s="50" t="s">
        <v>141</v>
      </c>
      <c r="D54" s="51">
        <f t="shared" ref="D54:AM54" si="6">SUM(D9:D53)</f>
        <v>5000</v>
      </c>
      <c r="E54" s="51">
        <f t="shared" si="6"/>
        <v>-12573444.830032598</v>
      </c>
      <c r="F54" s="51">
        <f>SUM(F9:F53)</f>
        <v>4155361.5380000002</v>
      </c>
      <c r="G54" s="51">
        <f t="shared" si="6"/>
        <v>0</v>
      </c>
      <c r="H54" s="51">
        <f t="shared" si="6"/>
        <v>0</v>
      </c>
      <c r="I54" s="51">
        <f t="shared" si="6"/>
        <v>12.935280000000001</v>
      </c>
      <c r="J54" s="51">
        <f t="shared" si="6"/>
        <v>0</v>
      </c>
      <c r="K54" s="51">
        <f t="shared" si="6"/>
        <v>0</v>
      </c>
      <c r="L54" s="52">
        <f>SUM(L9:L53)</f>
        <v>586016.80728467565</v>
      </c>
      <c r="M54" s="51">
        <f t="shared" si="6"/>
        <v>6100667.3576179994</v>
      </c>
      <c r="N54" s="51">
        <f t="shared" si="6"/>
        <v>0</v>
      </c>
      <c r="O54" s="51">
        <f t="shared" si="6"/>
        <v>0</v>
      </c>
      <c r="P54" s="51">
        <f t="shared" si="6"/>
        <v>0</v>
      </c>
      <c r="Q54" s="51">
        <f t="shared" si="6"/>
        <v>0</v>
      </c>
      <c r="R54" s="51">
        <f t="shared" si="6"/>
        <v>216.69</v>
      </c>
      <c r="S54" s="51">
        <f t="shared" si="6"/>
        <v>841.03022940000005</v>
      </c>
      <c r="T54" s="51">
        <f t="shared" si="6"/>
        <v>0</v>
      </c>
      <c r="U54" s="51">
        <f t="shared" si="6"/>
        <v>0</v>
      </c>
      <c r="V54" s="51">
        <f t="shared" si="6"/>
        <v>-2530000</v>
      </c>
      <c r="W54" s="51">
        <f t="shared" si="6"/>
        <v>-9819587.8000000007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13264.199000000001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-13317.255796000001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-8.8663239999999988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33.897000000000006</v>
      </c>
      <c r="BB54" s="51">
        <f t="shared" si="7"/>
        <v>11.741999999999999</v>
      </c>
      <c r="BC54" s="51">
        <f t="shared" si="7"/>
        <v>44.790999999999997</v>
      </c>
      <c r="BD54" s="51">
        <f t="shared" si="7"/>
        <v>2.8620000000000001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19.853000000000002</v>
      </c>
      <c r="BM54" s="51">
        <f t="shared" si="7"/>
        <v>188.30783</v>
      </c>
      <c r="BN54" s="51">
        <f t="shared" si="7"/>
        <v>3.0559999999979937E-2</v>
      </c>
      <c r="BO54" s="51">
        <f t="shared" si="7"/>
        <v>0</v>
      </c>
      <c r="BP54" s="51">
        <f t="shared" si="7"/>
        <v>5.8430000000000003E-2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1500000</v>
      </c>
      <c r="CA54" s="51">
        <f t="shared" si="7"/>
        <v>2700000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-7344893.3429205241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458083.86505994509</v>
      </c>
      <c r="E55" s="56">
        <f t="shared" si="8"/>
        <v>7802729.7551219575</v>
      </c>
      <c r="F55" s="56">
        <f>+F8+F54</f>
        <v>8474042.5557843968</v>
      </c>
      <c r="G55" s="56">
        <f t="shared" si="8"/>
        <v>0</v>
      </c>
      <c r="H55" s="56">
        <f t="shared" si="8"/>
        <v>0</v>
      </c>
      <c r="I55" s="56">
        <f t="shared" si="8"/>
        <v>75252.335144578348</v>
      </c>
      <c r="J55" s="56">
        <f t="shared" si="8"/>
        <v>0</v>
      </c>
      <c r="K55" s="56">
        <f t="shared" si="8"/>
        <v>163081.68768414296</v>
      </c>
      <c r="L55" s="56">
        <f t="shared" si="8"/>
        <v>865223.24753070343</v>
      </c>
      <c r="M55" s="56">
        <f t="shared" si="8"/>
        <v>6236261.8108214792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6652586.9534668662</v>
      </c>
      <c r="Q55" s="56">
        <f t="shared" si="8"/>
        <v>25959626.910803191</v>
      </c>
      <c r="R55" s="56">
        <f t="shared" si="8"/>
        <v>3117206.3145100004</v>
      </c>
      <c r="S55" s="56">
        <f t="shared" si="8"/>
        <v>12855368.365401028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49516370.969999991</v>
      </c>
      <c r="W55" s="56">
        <f t="shared" si="8"/>
        <v>196995011.56916797</v>
      </c>
      <c r="X55" s="56">
        <f t="shared" si="8"/>
        <v>2405509.0999999996</v>
      </c>
      <c r="Y55" s="56">
        <f t="shared" si="8"/>
        <v>9664866.7635749988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21297.839999997261</v>
      </c>
      <c r="AI55" s="56">
        <f t="shared" si="8"/>
        <v>122794.66363258875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15955097.461765243</v>
      </c>
      <c r="AM55" s="56">
        <f t="shared" si="8"/>
        <v>97511475.624815345</v>
      </c>
      <c r="AN55" s="56">
        <f t="shared" si="8"/>
        <v>4853701.1557200011</v>
      </c>
      <c r="AO55" s="56">
        <f t="shared" si="8"/>
        <v>882384.62845144002</v>
      </c>
      <c r="AP55" s="56">
        <f t="shared" si="8"/>
        <v>7620995.5088501452</v>
      </c>
      <c r="AQ55" s="56">
        <f t="shared" si="8"/>
        <v>1908895.0415161632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52053.676533996797</v>
      </c>
      <c r="AX55" s="56">
        <f t="shared" si="8"/>
        <v>1064.5961240010877</v>
      </c>
      <c r="AY55" s="56">
        <f t="shared" si="8"/>
        <v>4468672.0798879992</v>
      </c>
      <c r="AZ55" s="56">
        <f t="shared" si="8"/>
        <v>23756.924137323233</v>
      </c>
      <c r="BA55" s="56">
        <f t="shared" si="8"/>
        <v>206711.94872400683</v>
      </c>
      <c r="BB55" s="56">
        <f t="shared" si="8"/>
        <v>71583.164219991173</v>
      </c>
      <c r="BC55" s="56">
        <f t="shared" si="8"/>
        <v>273066.24184799852</v>
      </c>
      <c r="BD55" s="56">
        <f t="shared" si="8"/>
        <v>17447.089599989849</v>
      </c>
      <c r="BE55" s="56">
        <f t="shared" si="8"/>
        <v>136146.99715368054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4885909.5036820117</v>
      </c>
      <c r="BL55" s="56">
        <f t="shared" si="8"/>
        <v>115468.54760244607</v>
      </c>
      <c r="BM55" s="56">
        <f t="shared" si="8"/>
        <v>1094684.7326171636</v>
      </c>
      <c r="BN55" s="56">
        <f t="shared" si="8"/>
        <v>1247239.2160873821</v>
      </c>
      <c r="BO55" s="56">
        <f t="shared" si="8"/>
        <v>3.4691202304202307E-3</v>
      </c>
      <c r="BP55" s="56">
        <f t="shared" si="8"/>
        <v>261.87486932906546</v>
      </c>
      <c r="BQ55" s="56">
        <f t="shared" si="8"/>
        <v>4.0128798844989433E-3</v>
      </c>
      <c r="BR55" s="56">
        <f t="shared" si="8"/>
        <v>1800054.7960000036</v>
      </c>
      <c r="BS55" s="56">
        <f t="shared" si="8"/>
        <v>7048131.3976754891</v>
      </c>
      <c r="BT55" s="56">
        <f t="shared" ref="BT55:CV55" si="9">+BT8+BT54</f>
        <v>219889.24493201787</v>
      </c>
      <c r="BU55" s="56">
        <f t="shared" si="9"/>
        <v>865881.3438094887</v>
      </c>
      <c r="BV55" s="56">
        <f t="shared" si="9"/>
        <v>9298.8778600000005</v>
      </c>
      <c r="BW55" s="56">
        <f t="shared" si="9"/>
        <v>145165.13399999999</v>
      </c>
      <c r="BX55" s="56">
        <f t="shared" si="9"/>
        <v>22663.665000000001</v>
      </c>
      <c r="BY55" s="56">
        <f t="shared" si="9"/>
        <v>587942.66794000042</v>
      </c>
      <c r="BZ55" s="56">
        <f t="shared" si="9"/>
        <v>2159635.4491399904</v>
      </c>
      <c r="CA55" s="56">
        <f t="shared" si="9"/>
        <v>4196979.7425599936</v>
      </c>
      <c r="CB55" s="56">
        <f t="shared" si="9"/>
        <v>20118.565999999999</v>
      </c>
      <c r="CC55" s="56">
        <f t="shared" si="9"/>
        <v>1112619.561</v>
      </c>
      <c r="CD55" s="56">
        <f t="shared" si="9"/>
        <v>0</v>
      </c>
      <c r="CE55" s="56">
        <f t="shared" si="9"/>
        <v>2.9999999933352228E-3</v>
      </c>
      <c r="CF55" s="56">
        <f t="shared" si="9"/>
        <v>589708.31160000002</v>
      </c>
      <c r="CG55" s="56">
        <f t="shared" si="9"/>
        <v>411364.61849999998</v>
      </c>
      <c r="CH55" s="56">
        <f t="shared" si="9"/>
        <v>2.9318200000000001</v>
      </c>
      <c r="CI55" s="56">
        <f t="shared" si="9"/>
        <v>828001.50943999924</v>
      </c>
      <c r="CJ55" s="56">
        <f t="shared" si="9"/>
        <v>114092.40903999977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14148.404510000371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445059557.05055034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67"/>
      <c r="O57" s="67"/>
      <c r="P57" s="151"/>
      <c r="Q57" s="71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O58" s="67"/>
      <c r="P58" s="152"/>
      <c r="Q58" s="71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N59" s="71"/>
      <c r="O59" s="67"/>
      <c r="P59" s="152"/>
      <c r="Q59" s="71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71083124.662840009</v>
      </c>
      <c r="E60" s="71"/>
      <c r="F60" s="84" t="s">
        <v>49</v>
      </c>
      <c r="G60" s="84" t="s">
        <v>149</v>
      </c>
      <c r="H60" s="85"/>
      <c r="I60" s="86"/>
      <c r="J60" s="57"/>
      <c r="N60" s="71"/>
      <c r="O60" s="67"/>
      <c r="P60" s="152"/>
      <c r="Q60" s="71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0</v>
      </c>
      <c r="E61" s="67"/>
      <c r="F61" s="89" t="s">
        <v>151</v>
      </c>
      <c r="G61" s="90">
        <f>N55</f>
        <v>120822.5199999999</v>
      </c>
      <c r="H61" s="85"/>
      <c r="I61" s="86"/>
      <c r="J61" s="57"/>
      <c r="N61" s="67"/>
      <c r="O61" s="67"/>
      <c r="P61" s="152"/>
      <c r="Q61" s="71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453622.61028999998</v>
      </c>
      <c r="E62" s="67" t="s">
        <v>205</v>
      </c>
      <c r="F62" s="89" t="s">
        <v>153</v>
      </c>
      <c r="G62" s="91">
        <f>P55</f>
        <v>6652586.9534668662</v>
      </c>
      <c r="H62" s="92"/>
      <c r="I62" s="86"/>
      <c r="J62" s="66"/>
      <c r="N62" s="67"/>
      <c r="O62" s="67"/>
      <c r="P62" s="152"/>
      <c r="Q62" s="71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10850167.567670001</v>
      </c>
      <c r="E63" s="101">
        <v>-1975167.56767</v>
      </c>
      <c r="F63" s="89" t="s">
        <v>155</v>
      </c>
      <c r="G63" s="91">
        <f>R55</f>
        <v>3117206.3145100004</v>
      </c>
      <c r="H63" s="93"/>
      <c r="I63" s="94"/>
      <c r="J63" s="57"/>
      <c r="N63" s="153"/>
      <c r="O63" s="153"/>
      <c r="P63" s="151"/>
      <c r="Q63" s="71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59779334.48488</v>
      </c>
      <c r="E64" s="67">
        <v>-13264.199000000001</v>
      </c>
      <c r="H64" s="57"/>
      <c r="I64" s="77"/>
      <c r="J64" s="66"/>
      <c r="N64" s="153"/>
      <c r="O64" s="153"/>
      <c r="P64" s="152"/>
      <c r="Q64" s="71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153"/>
      <c r="O65" s="153"/>
      <c r="P65" s="152"/>
      <c r="Q65" s="71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152"/>
      <c r="Q66" s="71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71"/>
      <c r="Q67" s="71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49516370.969999991</v>
      </c>
      <c r="H68" s="57"/>
      <c r="I68" s="98"/>
      <c r="J68" s="108"/>
      <c r="M68" s="101"/>
      <c r="N68" s="101"/>
      <c r="O68" s="69"/>
      <c r="P68" s="6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2405509.0999999996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-75213679.028480008</v>
      </c>
      <c r="E73" s="71"/>
      <c r="F73" s="114" t="s">
        <v>163</v>
      </c>
      <c r="G73" s="115">
        <f>L55*1000</f>
        <v>865223247.53070343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6236261810.8214788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0</v>
      </c>
      <c r="E75" s="67"/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-53140208.987000003</v>
      </c>
      <c r="E76" s="67">
        <v>13264.199000000001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-19465000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-566954.94033000001</v>
      </c>
      <c r="E81" s="101" t="s">
        <v>205</v>
      </c>
      <c r="F81" s="128" t="s">
        <v>172</v>
      </c>
      <c r="G81" s="126">
        <f>AH55</f>
        <v>21297.839999997261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-2041515.10115</v>
      </c>
      <c r="E82" s="71" t="s">
        <v>205</v>
      </c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206678.05172400683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36.459000000000003</v>
      </c>
      <c r="L92" s="143">
        <f>BA50+BA51+BA53+BA40+BA42+BA43+BA45</f>
        <v>-2.5619999999999998</v>
      </c>
      <c r="M92" s="144">
        <f t="shared" si="10"/>
        <v>206711.94872400683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136146.99715368054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136146.99715368054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52062.542857996799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-3.5324000000000001E-2</v>
      </c>
      <c r="M94" s="144">
        <f t="shared" si="10"/>
        <v>52062.507533996803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273021.45084799849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48.161999999999999</v>
      </c>
      <c r="L98" s="143">
        <f>BC50+BC51+BC53+BC40+BC42+BC43+BC45</f>
        <v>-3.371</v>
      </c>
      <c r="M98" s="144">
        <f t="shared" si="10"/>
        <v>273066.24184799852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71571.422219991175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12.625999999999999</v>
      </c>
      <c r="L99" s="143">
        <f>BB50+BB51+BB53+BB40+BB42+BB43+BB45</f>
        <v>-0.88400000000000001</v>
      </c>
      <c r="M99" s="144">
        <f t="shared" si="10"/>
        <v>71583.164219991173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17444.227599989848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3.077</v>
      </c>
      <c r="L104" s="143">
        <f>BD50+BD51+BD53+BD40+BD42+BD43+BD45</f>
        <v>-0.215</v>
      </c>
      <c r="M104" s="144">
        <f t="shared" si="10"/>
        <v>17447.089599989849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4468672.0798879992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4468672.0798879992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452959.85899967921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36.459000000000003</v>
      </c>
      <c r="L108" s="98">
        <f t="shared" si="11"/>
        <v>-2.597324</v>
      </c>
      <c r="M108" s="98">
        <f t="shared" si="11"/>
        <v>452993.72067567927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848230.53177235276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60.787999999999997</v>
      </c>
      <c r="L109" s="98">
        <f t="shared" si="12"/>
        <v>-4.2549999999999999</v>
      </c>
      <c r="M109" s="98">
        <f t="shared" si="12"/>
        <v>848287.06477235281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4746089.8839914296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3.077</v>
      </c>
      <c r="L110" s="98">
        <f t="shared" si="13"/>
        <v>-0.215</v>
      </c>
      <c r="M110" s="98">
        <f t="shared" si="13"/>
        <v>4746092.7459914293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  <mergeCell ref="A9:A29"/>
    <mergeCell ref="D1:BK1"/>
    <mergeCell ref="BL1:BN1"/>
    <mergeCell ref="BR1:CJ1"/>
    <mergeCell ref="CW2:CW4"/>
    <mergeCell ref="A5:A8"/>
  </mergeCells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0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25'!D55</f>
        <v>458083.86505994509</v>
      </c>
      <c r="E5" s="18">
        <f>'SEP 25'!E55</f>
        <v>7802729.7551219575</v>
      </c>
      <c r="F5" s="18">
        <f>'SEP 25'!F55</f>
        <v>8474042.5557843968</v>
      </c>
      <c r="G5" s="18">
        <f>'SEP 25'!G55</f>
        <v>0</v>
      </c>
      <c r="H5" s="18">
        <f>'SEP 25'!H55</f>
        <v>0</v>
      </c>
      <c r="I5" s="18">
        <f>'SEP 25'!I55</f>
        <v>75252.335144578348</v>
      </c>
      <c r="J5" s="18">
        <f>'SEP 25'!J55</f>
        <v>0</v>
      </c>
      <c r="K5" s="18">
        <f>'SEP 25'!K55</f>
        <v>163081.68768414296</v>
      </c>
      <c r="L5" s="18">
        <f>'SEP 25'!L55</f>
        <v>865223.24753070343</v>
      </c>
      <c r="M5" s="18">
        <f>'SEP 25'!M55</f>
        <v>6236261.8108214792</v>
      </c>
      <c r="N5" s="18">
        <f>'SEP 25'!N55</f>
        <v>120822.5199999999</v>
      </c>
      <c r="O5" s="18">
        <f>'SEP 25'!O55</f>
        <v>485514.42259319959</v>
      </c>
      <c r="P5" s="18">
        <f>'SEP 25'!P55</f>
        <v>6652586.9534668662</v>
      </c>
      <c r="Q5" s="18">
        <f>'SEP 25'!Q55</f>
        <v>25959626.910803191</v>
      </c>
      <c r="R5" s="18">
        <f>'SEP 25'!R55</f>
        <v>3117206.3145100004</v>
      </c>
      <c r="S5" s="18">
        <f>'SEP 25'!S55</f>
        <v>12855368.365401028</v>
      </c>
      <c r="T5" s="18">
        <f>'SEP 25'!T55</f>
        <v>56575.250000000007</v>
      </c>
      <c r="U5" s="18">
        <f>'SEP 25'!U55</f>
        <v>227353.77856949999</v>
      </c>
      <c r="V5" s="18">
        <f>'SEP 25'!V55</f>
        <v>49516370.969999991</v>
      </c>
      <c r="W5" s="18">
        <f>'SEP 25'!W55</f>
        <v>196995011.56916797</v>
      </c>
      <c r="X5" s="18">
        <f>'SEP 25'!X55</f>
        <v>2405509.0999999996</v>
      </c>
      <c r="Y5" s="18">
        <f>'SEP 25'!Y55</f>
        <v>9664866.7635749988</v>
      </c>
      <c r="Z5" s="18">
        <f>'SEP 25'!Z55</f>
        <v>9662.5274983807467</v>
      </c>
      <c r="AA5" s="18">
        <f>'SEP 25'!AA55</f>
        <v>38827.997124768175</v>
      </c>
      <c r="AB5" s="18">
        <f>'SEP 25'!AB55</f>
        <v>7542.7499999967404</v>
      </c>
      <c r="AC5" s="18">
        <f>'SEP 25'!AC55</f>
        <v>30309.862027486903</v>
      </c>
      <c r="AD5" s="18">
        <f>'SEP 25'!AD55</f>
        <v>5155</v>
      </c>
      <c r="AE5" s="18">
        <f>'SEP 25'!AE55</f>
        <v>20714.903549999999</v>
      </c>
      <c r="AF5" s="18">
        <f>'SEP 25'!AF55</f>
        <v>7956.8699999451637</v>
      </c>
      <c r="AG5" s="18">
        <f>'SEP 25'!AG55</f>
        <v>31973.965976479645</v>
      </c>
      <c r="AH5" s="18">
        <f>'SEP 25'!AH55</f>
        <v>21297.839999997261</v>
      </c>
      <c r="AI5" s="18">
        <f>'SEP 25'!AI55</f>
        <v>122794.66363258875</v>
      </c>
      <c r="AJ5" s="18">
        <f>'SEP 25'!AJ55</f>
        <v>675895.70999999822</v>
      </c>
      <c r="AK5" s="18">
        <f>'SEP 25'!AK55</f>
        <v>2716026.0800210927</v>
      </c>
      <c r="AL5" s="18">
        <f>'SEP 25'!AL55</f>
        <v>15955097.461765243</v>
      </c>
      <c r="AM5" s="18">
        <f>'SEP 25'!AM55</f>
        <v>97511475.624815345</v>
      </c>
      <c r="AN5" s="18">
        <f>'SEP 25'!AN55</f>
        <v>4853701.1557200011</v>
      </c>
      <c r="AO5" s="18">
        <f>'SEP 25'!AO55</f>
        <v>882384.62845144002</v>
      </c>
      <c r="AP5" s="18">
        <f>'SEP 25'!AP55</f>
        <v>7620995.5088501452</v>
      </c>
      <c r="AQ5" s="18">
        <f>'SEP 25'!AQ55</f>
        <v>1908895.0415161632</v>
      </c>
      <c r="AR5" s="18">
        <f>'SEP 25'!AR55</f>
        <v>33467.106463993005</v>
      </c>
      <c r="AS5" s="18">
        <f>'SEP 25'!AS55</f>
        <v>6.3419079996137473</v>
      </c>
      <c r="AT5" s="18">
        <f>'SEP 25'!AT55</f>
        <v>11.326432002509915</v>
      </c>
      <c r="AU5" s="18">
        <f>'SEP 25'!AU55</f>
        <v>70852.565203997277</v>
      </c>
      <c r="AV5" s="18">
        <f>'SEP 25'!AV55</f>
        <v>529097.77060280275</v>
      </c>
      <c r="AW5" s="18">
        <f>'SEP 25'!AW55</f>
        <v>52053.676533996797</v>
      </c>
      <c r="AX5" s="18">
        <f>'SEP 25'!AX55</f>
        <v>1064.5961240010877</v>
      </c>
      <c r="AY5" s="18">
        <f>'SEP 25'!AY55</f>
        <v>4468672.0798879992</v>
      </c>
      <c r="AZ5" s="18">
        <f>'SEP 25'!AZ55</f>
        <v>23756.924137323233</v>
      </c>
      <c r="BA5" s="18">
        <f>'SEP 25'!BA55</f>
        <v>206711.94872400683</v>
      </c>
      <c r="BB5" s="18">
        <f>'SEP 25'!BB55</f>
        <v>71583.164219991173</v>
      </c>
      <c r="BC5" s="18">
        <f>'SEP 25'!BC55</f>
        <v>273066.24184799852</v>
      </c>
      <c r="BD5" s="18">
        <f>'SEP 25'!BD55</f>
        <v>17447.089599989849</v>
      </c>
      <c r="BE5" s="18">
        <f>'SEP 25'!BE55</f>
        <v>136146.99715368054</v>
      </c>
      <c r="BF5" s="18">
        <f>'SEP 25'!BF55</f>
        <v>294827.49323035986</v>
      </c>
      <c r="BG5" s="18">
        <f>'SEP 25'!BG55</f>
        <v>35110.408018882757</v>
      </c>
      <c r="BH5" s="18">
        <f>'SEP 25'!BH55</f>
        <v>24605.160800002101</v>
      </c>
      <c r="BI5" s="18">
        <f>'SEP 25'!BI55</f>
        <v>207727.90101</v>
      </c>
      <c r="BJ5" s="18">
        <f>'SEP 25'!BJ55</f>
        <v>154010.6032805602</v>
      </c>
      <c r="BK5" s="18">
        <f>'SEP 25'!BK55</f>
        <v>4885909.5036820117</v>
      </c>
      <c r="BL5" s="18">
        <f>'SEP 25'!BL55</f>
        <v>115468.54760244607</v>
      </c>
      <c r="BM5" s="18">
        <f>'SEP 25'!BM55</f>
        <v>1094684.7326171636</v>
      </c>
      <c r="BN5" s="18">
        <f>'SEP 25'!BN55</f>
        <v>1247239.2160873821</v>
      </c>
      <c r="BO5" s="18">
        <f>'SEP 25'!BO55</f>
        <v>3.4691202304202307E-3</v>
      </c>
      <c r="BP5" s="18">
        <f>'SEP 25'!BP55</f>
        <v>261.87486932906546</v>
      </c>
      <c r="BQ5" s="18">
        <f>'SEP 25'!BQ55</f>
        <v>4.0128798844989433E-3</v>
      </c>
      <c r="BR5" s="18">
        <f>'SEP 25'!BR55</f>
        <v>1800054.7960000036</v>
      </c>
      <c r="BS5" s="18">
        <f>'SEP 25'!BS55</f>
        <v>7048131.3976754891</v>
      </c>
      <c r="BT5" s="18">
        <f>'SEP 25'!BT55</f>
        <v>219889.24493201787</v>
      </c>
      <c r="BU5" s="18">
        <f>'SEP 25'!BU55</f>
        <v>865881.3438094887</v>
      </c>
      <c r="BV5" s="18">
        <f>'SEP 25'!BV55</f>
        <v>9298.8778600000005</v>
      </c>
      <c r="BW5" s="18">
        <f>'SEP 25'!BW55</f>
        <v>145165.13399999999</v>
      </c>
      <c r="BX5" s="18">
        <f>'SEP 25'!BX55</f>
        <v>22663.665000000001</v>
      </c>
      <c r="BY5" s="18">
        <f>'SEP 25'!BY55</f>
        <v>587942.66794000042</v>
      </c>
      <c r="BZ5" s="18">
        <f>'SEP 25'!BZ55</f>
        <v>2159635.4491399904</v>
      </c>
      <c r="CA5" s="18">
        <f>'SEP 25'!CA55</f>
        <v>4196979.7425599936</v>
      </c>
      <c r="CB5" s="18">
        <f>'SEP 25'!CB55</f>
        <v>20118.565999999999</v>
      </c>
      <c r="CC5" s="18">
        <f>'SEP 25'!CC55</f>
        <v>1112619.561</v>
      </c>
      <c r="CD5" s="18">
        <f>'SEP 25'!CD55</f>
        <v>0</v>
      </c>
      <c r="CE5" s="18">
        <f>'SEP 25'!CE55</f>
        <v>2.9999999933352228E-3</v>
      </c>
      <c r="CF5" s="18">
        <f>'SEP 25'!CF55</f>
        <v>589708.31160000002</v>
      </c>
      <c r="CG5" s="18">
        <f>'SEP 25'!CG55</f>
        <v>411364.61849999998</v>
      </c>
      <c r="CH5" s="18">
        <f>'SEP 25'!CH55</f>
        <v>2.9318200000000001</v>
      </c>
      <c r="CI5" s="18">
        <f>'SEP 25'!CI55</f>
        <v>828001.50943999924</v>
      </c>
      <c r="CJ5" s="18">
        <f>'SEP 25'!CJ55</f>
        <v>114092.40903999977</v>
      </c>
      <c r="CK5" s="18">
        <f>'SEP 25'!CK55</f>
        <v>0</v>
      </c>
      <c r="CL5" s="18">
        <f>'SEP 25'!CL55</f>
        <v>0</v>
      </c>
      <c r="CM5" s="18">
        <f>'SEP 25'!CM55</f>
        <v>79545.207070000004</v>
      </c>
      <c r="CN5" s="18">
        <f>'SEP 25'!CN55</f>
        <v>647657.33605000004</v>
      </c>
      <c r="CO5" s="18">
        <f>'SEP 25'!CO55</f>
        <v>736464.8368199995</v>
      </c>
      <c r="CP5" s="18">
        <f>'SEP 25'!CP55</f>
        <v>9152723.6727600005</v>
      </c>
      <c r="CQ5" s="18">
        <f>'SEP 25'!CQ55</f>
        <v>377715.39094000001</v>
      </c>
      <c r="CR5" s="18">
        <f>'SEP 25'!CR55</f>
        <v>14148.404510000371</v>
      </c>
      <c r="CS5" s="18">
        <f>'SEP 25'!CS55</f>
        <v>5013.4199999999992</v>
      </c>
      <c r="CT5" s="18">
        <f>'SEP 25'!CT55</f>
        <v>20149.387893799994</v>
      </c>
      <c r="CU5" s="18">
        <f>'SEP 25'!CU55</f>
        <v>5013.4199999999992</v>
      </c>
      <c r="CV5" s="18">
        <f>'SEP 25'!CV55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445059557.05055034</v>
      </c>
    </row>
    <row r="6" spans="1:101" s="20" customFormat="1" x14ac:dyDescent="0.3">
      <c r="A6" s="173"/>
      <c r="B6" s="19"/>
      <c r="C6" s="19" t="s">
        <v>91</v>
      </c>
      <c r="D6" s="19">
        <v>-6544.1908399999975</v>
      </c>
      <c r="E6" s="19">
        <v>-1453926.0553900003</v>
      </c>
      <c r="F6" s="19">
        <v>-5296269.7773400033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-14115.34499999995</v>
      </c>
      <c r="BZ6" s="19">
        <v>-4194689.551</v>
      </c>
      <c r="CA6" s="19">
        <v>-3272916.5670000003</v>
      </c>
      <c r="CB6" s="19">
        <v>0</v>
      </c>
      <c r="CC6" s="19">
        <v>4047.658000000054</v>
      </c>
      <c r="CD6" s="19">
        <v>0</v>
      </c>
      <c r="CE6" s="19">
        <v>0</v>
      </c>
      <c r="CF6" s="19">
        <v>17229.089999999967</v>
      </c>
      <c r="CG6" s="19">
        <v>0</v>
      </c>
      <c r="CH6" s="19">
        <v>0</v>
      </c>
      <c r="CI6" s="19">
        <v>4085.9467699999223</v>
      </c>
      <c r="CJ6" s="19">
        <v>8412.8620000000083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451539.6742199451</v>
      </c>
      <c r="E8" s="18">
        <f t="shared" si="0"/>
        <v>6348803.6997319572</v>
      </c>
      <c r="F8" s="18">
        <f t="shared" si="0"/>
        <v>3177772.7784443935</v>
      </c>
      <c r="G8" s="18">
        <f t="shared" si="0"/>
        <v>0</v>
      </c>
      <c r="H8" s="18">
        <f t="shared" si="0"/>
        <v>0</v>
      </c>
      <c r="I8" s="18">
        <f t="shared" si="0"/>
        <v>75252.335144578348</v>
      </c>
      <c r="J8" s="18">
        <f t="shared" si="0"/>
        <v>0</v>
      </c>
      <c r="K8" s="18">
        <f t="shared" si="0"/>
        <v>163081.68768414296</v>
      </c>
      <c r="L8" s="18">
        <f t="shared" si="0"/>
        <v>865223.24753070343</v>
      </c>
      <c r="M8" s="18">
        <f t="shared" si="0"/>
        <v>6236261.8108214792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6652586.9534668662</v>
      </c>
      <c r="Q8" s="18">
        <f t="shared" si="0"/>
        <v>25959626.910803191</v>
      </c>
      <c r="R8" s="18">
        <f t="shared" si="0"/>
        <v>3117206.3145100004</v>
      </c>
      <c r="S8" s="18">
        <f t="shared" si="0"/>
        <v>12855368.365401028</v>
      </c>
      <c r="T8" s="18">
        <f t="shared" si="0"/>
        <v>56575.250000000007</v>
      </c>
      <c r="U8" s="18">
        <f t="shared" si="0"/>
        <v>227353.77856949999</v>
      </c>
      <c r="V8" s="18">
        <f t="shared" si="0"/>
        <v>49516370.969999991</v>
      </c>
      <c r="W8" s="18">
        <f t="shared" si="0"/>
        <v>196995011.56916797</v>
      </c>
      <c r="X8" s="18">
        <f t="shared" si="0"/>
        <v>2405509.0999999996</v>
      </c>
      <c r="Y8" s="18">
        <f t="shared" si="0"/>
        <v>9664866.7635749988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21297.839999997261</v>
      </c>
      <c r="AI8" s="18">
        <f t="shared" si="0"/>
        <v>122794.66363258875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15955097.461765243</v>
      </c>
      <c r="AM8" s="18">
        <f t="shared" si="0"/>
        <v>97511475.624815345</v>
      </c>
      <c r="AN8" s="18">
        <f t="shared" si="0"/>
        <v>4853701.1557200011</v>
      </c>
      <c r="AO8" s="18">
        <f t="shared" si="0"/>
        <v>882384.62845144002</v>
      </c>
      <c r="AP8" s="18">
        <f t="shared" si="0"/>
        <v>7620995.5088501452</v>
      </c>
      <c r="AQ8" s="18">
        <f t="shared" si="0"/>
        <v>1908895.0415161632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52053.676533996797</v>
      </c>
      <c r="AX8" s="18">
        <f t="shared" si="0"/>
        <v>1064.5961240010877</v>
      </c>
      <c r="AY8" s="18">
        <f t="shared" si="0"/>
        <v>4468672.0798879992</v>
      </c>
      <c r="AZ8" s="18">
        <f t="shared" si="0"/>
        <v>23756.924137323233</v>
      </c>
      <c r="BA8" s="18">
        <f t="shared" si="0"/>
        <v>206711.94872400683</v>
      </c>
      <c r="BB8" s="18">
        <f t="shared" si="0"/>
        <v>71583.164219991173</v>
      </c>
      <c r="BC8" s="18">
        <f t="shared" si="0"/>
        <v>273066.24184799852</v>
      </c>
      <c r="BD8" s="18">
        <f t="shared" si="0"/>
        <v>17447.089599989849</v>
      </c>
      <c r="BE8" s="18">
        <f t="shared" si="0"/>
        <v>136146.99715368054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4885909.5036820117</v>
      </c>
      <c r="BL8" s="18">
        <f t="shared" si="0"/>
        <v>115468.54760244607</v>
      </c>
      <c r="BM8" s="18">
        <f t="shared" si="0"/>
        <v>1094684.7326171636</v>
      </c>
      <c r="BN8" s="18">
        <f t="shared" si="0"/>
        <v>1247239.2160873821</v>
      </c>
      <c r="BO8" s="18">
        <f t="shared" si="0"/>
        <v>3.4691202304202307E-3</v>
      </c>
      <c r="BP8" s="18">
        <f t="shared" si="0"/>
        <v>261.87486932906546</v>
      </c>
      <c r="BQ8" s="18">
        <f t="shared" si="0"/>
        <v>4.0128798844989433E-3</v>
      </c>
      <c r="BR8" s="18">
        <f t="shared" si="0"/>
        <v>1800054.7960000036</v>
      </c>
      <c r="BS8" s="18">
        <f t="shared" si="0"/>
        <v>7048131.3976754891</v>
      </c>
      <c r="BT8" s="18">
        <f t="shared" ref="BT8:CV8" si="1">BT5+BT6+BT7</f>
        <v>219889.24493201787</v>
      </c>
      <c r="BU8" s="18">
        <f t="shared" si="1"/>
        <v>865881.3438094887</v>
      </c>
      <c r="BV8" s="18">
        <f t="shared" si="1"/>
        <v>9298.8778600000005</v>
      </c>
      <c r="BW8" s="18">
        <f t="shared" si="1"/>
        <v>145165.13399999999</v>
      </c>
      <c r="BX8" s="18">
        <f t="shared" si="1"/>
        <v>22663.665000000001</v>
      </c>
      <c r="BY8" s="18">
        <f>+BY5+BY6+BY7:BZ7</f>
        <v>573827.32294000045</v>
      </c>
      <c r="BZ8" s="18">
        <f t="shared" si="1"/>
        <v>-2035054.1018600096</v>
      </c>
      <c r="CA8" s="18">
        <f t="shared" si="1"/>
        <v>924063.17555999337</v>
      </c>
      <c r="CB8" s="18">
        <f t="shared" si="1"/>
        <v>20118.565999999999</v>
      </c>
      <c r="CC8" s="18">
        <f t="shared" si="1"/>
        <v>1116667.219</v>
      </c>
      <c r="CD8" s="18">
        <f t="shared" si="1"/>
        <v>0</v>
      </c>
      <c r="CE8" s="18">
        <f t="shared" si="1"/>
        <v>2.9999999933352228E-3</v>
      </c>
      <c r="CF8" s="18">
        <f t="shared" si="1"/>
        <v>606937.40159999998</v>
      </c>
      <c r="CG8" s="18">
        <f t="shared" si="1"/>
        <v>411364.61849999998</v>
      </c>
      <c r="CH8" s="18">
        <f t="shared" si="1"/>
        <v>2.9318200000000001</v>
      </c>
      <c r="CI8" s="18">
        <f t="shared" si="1"/>
        <v>832087.45620999916</v>
      </c>
      <c r="CJ8" s="18">
        <f t="shared" si="1"/>
        <v>122505.27103999977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14148.404510000371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430854871.12075037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/>
      <c r="M11" s="26"/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9">
        <f>42183.411+20776.071</f>
        <v>62959.482000000004</v>
      </c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62959.482000000004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>
        <v>-2457166.6666600001</v>
      </c>
      <c r="M17" s="27">
        <v>-1105725</v>
      </c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9">
        <v>-20776.071</v>
      </c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-3583667.7376600001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/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0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0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0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0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>
        <v>616717.63</v>
      </c>
      <c r="Q25" s="26">
        <f>(P25*3898.87)/1000</f>
        <v>2404501.8660780997</v>
      </c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2404501.8660780997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4000</v>
      </c>
      <c r="E27" s="29">
        <v>813000</v>
      </c>
      <c r="F27" s="29">
        <v>8781000</v>
      </c>
      <c r="G27" s="26"/>
      <c r="H27" s="26"/>
      <c r="I27" s="26"/>
      <c r="J27" s="26"/>
      <c r="K27" s="26"/>
      <c r="L27" s="27">
        <v>3800000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2000000</v>
      </c>
      <c r="CA27" s="26">
        <v>4200000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19598000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/>
      <c r="F28" s="26"/>
      <c r="G28" s="26"/>
      <c r="H28" s="26"/>
      <c r="I28" s="26"/>
      <c r="J28" s="26"/>
      <c r="K28" s="26"/>
      <c r="L28" s="27"/>
      <c r="M28" s="26">
        <v>-4200000</v>
      </c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-4200000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-620000-830000</f>
        <v>-1450000</v>
      </c>
      <c r="W35" s="38">
        <f>(V35*3898.87)/1000</f>
        <v>-5653361.5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-5653361.5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v>-1928240</v>
      </c>
      <c r="M38" s="39">
        <v>-723090</v>
      </c>
      <c r="N38" s="38"/>
      <c r="O38" s="38"/>
      <c r="P38" s="38">
        <v>42292.82</v>
      </c>
      <c r="Q38" s="38">
        <f>(P38*3898.87)/1000</f>
        <v>164894.20711339999</v>
      </c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-2486435.7928865999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0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/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0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-0.97499999999999998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f>-2.553-2.553-2.553</f>
        <v>-7.6589999999999998</v>
      </c>
      <c r="BB50" s="49">
        <f>-0.884-0.884-0.884</f>
        <v>-2.6520000000000001</v>
      </c>
      <c r="BC50" s="49">
        <f>-3.373-3.372-3.372-0.01</f>
        <v>-10.127000000000001</v>
      </c>
      <c r="BD50" s="49">
        <f>-0.216-0.215-0.215</f>
        <v>-0.64600000000000002</v>
      </c>
      <c r="BE50" s="49"/>
      <c r="BF50" s="49"/>
      <c r="BG50" s="49"/>
      <c r="BH50" s="49"/>
      <c r="BI50" s="49"/>
      <c r="BJ50" s="49"/>
      <c r="BK50" s="49"/>
      <c r="BL50" s="49">
        <v>-1.4950000000000001</v>
      </c>
      <c r="BM50" s="49">
        <v>-14.176</v>
      </c>
      <c r="BN50" s="49">
        <v>-16.152000000000001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-53.882000000000005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f>-541.123+0.01</f>
        <v>-541.11300000000006</v>
      </c>
      <c r="F51" s="49"/>
      <c r="G51" s="49"/>
      <c r="H51" s="49"/>
      <c r="I51" s="49"/>
      <c r="J51" s="49"/>
      <c r="K51" s="48"/>
      <c r="L51" s="48">
        <f>-81.88248+0.01</f>
        <v>-81.872479999999996</v>
      </c>
      <c r="M51" s="48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-622.98548000000005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f>13.92168+0.01</f>
        <v>13.93168</v>
      </c>
      <c r="J52" s="49"/>
      <c r="K52" s="49"/>
      <c r="L52" s="48"/>
      <c r="M52" s="48"/>
      <c r="N52" s="49"/>
      <c r="O52" s="49"/>
      <c r="P52" s="49"/>
      <c r="Q52" s="49"/>
      <c r="R52" s="49">
        <v>216.71</v>
      </c>
      <c r="S52" s="49">
        <f>(R52*3898.87)/1000</f>
        <v>844.92411770000001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f>36.477+36.471+36.465+0.01</f>
        <v>109.423</v>
      </c>
      <c r="BB52" s="49">
        <f>12.632+12.63+12.628</f>
        <v>37.89</v>
      </c>
      <c r="BC52" s="49">
        <f>48.186+48.178+48.17</f>
        <v>144.53399999999999</v>
      </c>
      <c r="BD52" s="49">
        <f>3.079+3.078+3.078</f>
        <v>9.2349999999999994</v>
      </c>
      <c r="BE52" s="49"/>
      <c r="BF52" s="49"/>
      <c r="BG52" s="49"/>
      <c r="BH52" s="49"/>
      <c r="BI52" s="49"/>
      <c r="BJ52" s="49"/>
      <c r="BK52" s="49"/>
      <c r="BL52" s="49">
        <v>21.36168</v>
      </c>
      <c r="BM52" s="49">
        <v>202.51667</v>
      </c>
      <c r="BN52" s="49">
        <v>230.73925</v>
      </c>
      <c r="BO52" s="49"/>
      <c r="BP52" s="49">
        <f>48.44/1000</f>
        <v>4.8439999999999997E-2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1614.6038377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-2.1644520000000003</v>
      </c>
      <c r="F53" s="49">
        <f>(F10+F13+F16+F17+F33+F38+F47+F35+F40)*4/1000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-17541.954156560001</v>
      </c>
      <c r="M53" s="48">
        <f>(M10+M13+M17+M33+M38+M40+M51+M36+M49+M16)*4/1000</f>
        <v>-7315.26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-83.104283999999993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0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-24942.482892560001</v>
      </c>
    </row>
    <row r="54" spans="1:101" x14ac:dyDescent="0.3">
      <c r="C54" s="50" t="s">
        <v>141</v>
      </c>
      <c r="D54" s="51">
        <f t="shared" ref="D54:AM54" si="6">SUM(D9:D53)</f>
        <v>4000</v>
      </c>
      <c r="E54" s="51">
        <f t="shared" si="6"/>
        <v>812456.72254799993</v>
      </c>
      <c r="F54" s="51">
        <f>SUM(F9:F53)</f>
        <v>8781000</v>
      </c>
      <c r="G54" s="51">
        <f t="shared" si="6"/>
        <v>0</v>
      </c>
      <c r="H54" s="51">
        <f t="shared" si="6"/>
        <v>0</v>
      </c>
      <c r="I54" s="51">
        <f t="shared" si="6"/>
        <v>12.95668</v>
      </c>
      <c r="J54" s="51">
        <f t="shared" si="6"/>
        <v>0</v>
      </c>
      <c r="K54" s="51">
        <f t="shared" si="6"/>
        <v>0</v>
      </c>
      <c r="L54" s="52">
        <f>SUM(L9:L53)</f>
        <v>-603030.49329656013</v>
      </c>
      <c r="M54" s="51">
        <f t="shared" si="6"/>
        <v>-6036130.2599999998</v>
      </c>
      <c r="N54" s="51">
        <f t="shared" si="6"/>
        <v>0</v>
      </c>
      <c r="O54" s="51">
        <f t="shared" si="6"/>
        <v>0</v>
      </c>
      <c r="P54" s="51">
        <f t="shared" si="6"/>
        <v>659010.44999999995</v>
      </c>
      <c r="Q54" s="51">
        <f t="shared" si="6"/>
        <v>2569396.0731914998</v>
      </c>
      <c r="R54" s="51">
        <f t="shared" si="6"/>
        <v>216.71</v>
      </c>
      <c r="S54" s="51">
        <f t="shared" si="6"/>
        <v>844.92411770000001</v>
      </c>
      <c r="T54" s="51">
        <f t="shared" si="6"/>
        <v>0</v>
      </c>
      <c r="U54" s="51">
        <f t="shared" si="6"/>
        <v>0</v>
      </c>
      <c r="V54" s="51">
        <f t="shared" si="6"/>
        <v>-1450000</v>
      </c>
      <c r="W54" s="51">
        <f t="shared" si="6"/>
        <v>-5653361.5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62959.482000000004</v>
      </c>
      <c r="AN54" s="51">
        <f t="shared" ref="AN54:CV54" si="7">SUM(AN9:AN53)</f>
        <v>0</v>
      </c>
      <c r="AO54" s="51">
        <f t="shared" si="7"/>
        <v>-20859.175284000001</v>
      </c>
      <c r="AP54" s="51">
        <f t="shared" si="7"/>
        <v>0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0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101.764</v>
      </c>
      <c r="BB54" s="51">
        <f t="shared" si="7"/>
        <v>35.238</v>
      </c>
      <c r="BC54" s="51">
        <f t="shared" si="7"/>
        <v>134.40699999999998</v>
      </c>
      <c r="BD54" s="51">
        <f t="shared" si="7"/>
        <v>8.5889999999999986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19.866679999999999</v>
      </c>
      <c r="BM54" s="51">
        <f t="shared" si="7"/>
        <v>188.34067000000002</v>
      </c>
      <c r="BN54" s="51">
        <f t="shared" si="7"/>
        <v>214.58724999999998</v>
      </c>
      <c r="BO54" s="51">
        <f t="shared" si="7"/>
        <v>0</v>
      </c>
      <c r="BP54" s="51">
        <f t="shared" si="7"/>
        <v>4.8439999999999997E-2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2000000</v>
      </c>
      <c r="CA54" s="51">
        <f t="shared" si="7"/>
        <v>4200000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6117991.5709966393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455539.6742199451</v>
      </c>
      <c r="E55" s="56">
        <f t="shared" si="8"/>
        <v>7161260.4222799568</v>
      </c>
      <c r="F55" s="56">
        <f>+F8+F54</f>
        <v>11958772.778444394</v>
      </c>
      <c r="G55" s="56">
        <f t="shared" si="8"/>
        <v>0</v>
      </c>
      <c r="H55" s="56">
        <f t="shared" si="8"/>
        <v>0</v>
      </c>
      <c r="I55" s="56">
        <f t="shared" si="8"/>
        <v>75265.291824578351</v>
      </c>
      <c r="J55" s="56">
        <f t="shared" si="8"/>
        <v>0</v>
      </c>
      <c r="K55" s="56">
        <f t="shared" si="8"/>
        <v>163081.68768414296</v>
      </c>
      <c r="L55" s="56">
        <f t="shared" si="8"/>
        <v>262192.7542341433</v>
      </c>
      <c r="M55" s="56">
        <f t="shared" si="8"/>
        <v>200131.55082147941</v>
      </c>
      <c r="N55" s="56">
        <f t="shared" si="8"/>
        <v>120822.5199999999</v>
      </c>
      <c r="O55" s="56">
        <f t="shared" si="8"/>
        <v>485514.42259319959</v>
      </c>
      <c r="P55" s="56">
        <f t="shared" si="8"/>
        <v>7311597.4034668664</v>
      </c>
      <c r="Q55" s="56">
        <f t="shared" si="8"/>
        <v>28529022.983994693</v>
      </c>
      <c r="R55" s="56">
        <f t="shared" si="8"/>
        <v>3117423.0245100004</v>
      </c>
      <c r="S55" s="56">
        <f t="shared" si="8"/>
        <v>12856213.289518727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48066370.969999991</v>
      </c>
      <c r="W55" s="56">
        <f t="shared" si="8"/>
        <v>191341650.06916797</v>
      </c>
      <c r="X55" s="56">
        <f t="shared" si="8"/>
        <v>2405509.0999999996</v>
      </c>
      <c r="Y55" s="56">
        <f t="shared" si="8"/>
        <v>9664866.7635749988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21297.839999997261</v>
      </c>
      <c r="AI55" s="56">
        <f t="shared" si="8"/>
        <v>122794.66363258875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15955097.461765243</v>
      </c>
      <c r="AM55" s="56">
        <f t="shared" si="8"/>
        <v>97574435.106815338</v>
      </c>
      <c r="AN55" s="56">
        <f t="shared" si="8"/>
        <v>4853701.1557200011</v>
      </c>
      <c r="AO55" s="56">
        <f t="shared" si="8"/>
        <v>861525.45316744002</v>
      </c>
      <c r="AP55" s="56">
        <f t="shared" si="8"/>
        <v>7620995.5088501452</v>
      </c>
      <c r="AQ55" s="56">
        <f t="shared" si="8"/>
        <v>1908895.0415161632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52053.676533996797</v>
      </c>
      <c r="AX55" s="56">
        <f t="shared" si="8"/>
        <v>1064.5961240010877</v>
      </c>
      <c r="AY55" s="56">
        <f t="shared" si="8"/>
        <v>4468672.0798879992</v>
      </c>
      <c r="AZ55" s="56">
        <f t="shared" si="8"/>
        <v>23756.924137323233</v>
      </c>
      <c r="BA55" s="56">
        <f t="shared" si="8"/>
        <v>206813.71272400682</v>
      </c>
      <c r="BB55" s="56">
        <f t="shared" si="8"/>
        <v>71618.402219991171</v>
      </c>
      <c r="BC55" s="56">
        <f t="shared" si="8"/>
        <v>273200.64884799853</v>
      </c>
      <c r="BD55" s="56">
        <f t="shared" si="8"/>
        <v>17455.678599989849</v>
      </c>
      <c r="BE55" s="56">
        <f t="shared" si="8"/>
        <v>136146.99715368054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4885909.5036820117</v>
      </c>
      <c r="BL55" s="56">
        <f t="shared" si="8"/>
        <v>115488.41428244607</v>
      </c>
      <c r="BM55" s="56">
        <f t="shared" si="8"/>
        <v>1094873.0732871636</v>
      </c>
      <c r="BN55" s="56">
        <f t="shared" si="8"/>
        <v>1247453.8033373822</v>
      </c>
      <c r="BO55" s="56">
        <f t="shared" si="8"/>
        <v>3.4691202304202307E-3</v>
      </c>
      <c r="BP55" s="56">
        <f t="shared" si="8"/>
        <v>261.92330932906549</v>
      </c>
      <c r="BQ55" s="56">
        <f t="shared" si="8"/>
        <v>4.0128798844989433E-3</v>
      </c>
      <c r="BR55" s="56">
        <f t="shared" si="8"/>
        <v>1800054.7960000036</v>
      </c>
      <c r="BS55" s="56">
        <f t="shared" si="8"/>
        <v>7048131.3976754891</v>
      </c>
      <c r="BT55" s="56">
        <f t="shared" ref="BT55:CV55" si="9">+BT8+BT54</f>
        <v>219889.24493201787</v>
      </c>
      <c r="BU55" s="56">
        <f t="shared" si="9"/>
        <v>865881.3438094887</v>
      </c>
      <c r="BV55" s="56">
        <f t="shared" si="9"/>
        <v>9298.8778600000005</v>
      </c>
      <c r="BW55" s="56">
        <f t="shared" si="9"/>
        <v>145165.13399999999</v>
      </c>
      <c r="BX55" s="56">
        <f t="shared" si="9"/>
        <v>22663.665000000001</v>
      </c>
      <c r="BY55" s="56">
        <f t="shared" si="9"/>
        <v>573827.32294000045</v>
      </c>
      <c r="BZ55" s="56">
        <f t="shared" si="9"/>
        <v>-35054.101860009599</v>
      </c>
      <c r="CA55" s="56">
        <f t="shared" si="9"/>
        <v>5124063.1755599938</v>
      </c>
      <c r="CB55" s="56">
        <f t="shared" si="9"/>
        <v>20118.565999999999</v>
      </c>
      <c r="CC55" s="56">
        <f t="shared" si="9"/>
        <v>1116667.219</v>
      </c>
      <c r="CD55" s="56">
        <f t="shared" si="9"/>
        <v>0</v>
      </c>
      <c r="CE55" s="56">
        <f t="shared" si="9"/>
        <v>2.9999999933352228E-3</v>
      </c>
      <c r="CF55" s="56">
        <f t="shared" si="9"/>
        <v>606937.40159999998</v>
      </c>
      <c r="CG55" s="56">
        <f t="shared" si="9"/>
        <v>411364.61849999998</v>
      </c>
      <c r="CH55" s="56">
        <f t="shared" si="9"/>
        <v>2.9318200000000001</v>
      </c>
      <c r="CI55" s="56">
        <f t="shared" si="9"/>
        <v>832087.45620999916</v>
      </c>
      <c r="CJ55" s="56">
        <f t="shared" si="9"/>
        <v>122505.27103999977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14148.404510000371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436972862.69174701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67"/>
      <c r="O57" s="67"/>
      <c r="P57" s="151"/>
      <c r="Q57" s="71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O58" s="67"/>
      <c r="P58" s="152"/>
      <c r="Q58" s="71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N59" s="71"/>
      <c r="O59" s="67"/>
      <c r="P59" s="152"/>
      <c r="Q59" s="71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22065461.348078102</v>
      </c>
      <c r="E60" s="71"/>
      <c r="F60" s="84" t="s">
        <v>49</v>
      </c>
      <c r="G60" s="84" t="s">
        <v>149</v>
      </c>
      <c r="H60" s="85"/>
      <c r="I60" s="86"/>
      <c r="J60" s="57"/>
      <c r="N60" s="71"/>
      <c r="O60" s="67"/>
      <c r="P60" s="152"/>
      <c r="Q60" s="71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0</v>
      </c>
      <c r="E61" s="67"/>
      <c r="F61" s="89" t="s">
        <v>151</v>
      </c>
      <c r="G61" s="90">
        <f>N55</f>
        <v>120822.5199999999</v>
      </c>
      <c r="H61" s="85"/>
      <c r="I61" s="86"/>
      <c r="J61" s="57"/>
      <c r="N61" s="67"/>
      <c r="O61" s="67"/>
      <c r="P61" s="152"/>
      <c r="Q61" s="71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59"/>
      <c r="BY61" s="59"/>
      <c r="BZ61" s="57"/>
      <c r="CA61" s="59"/>
      <c r="CD61" s="59"/>
    </row>
    <row r="62" spans="1:101" x14ac:dyDescent="0.3">
      <c r="B62" s="165"/>
      <c r="C62" s="87" t="s">
        <v>152</v>
      </c>
      <c r="D62" s="88">
        <f>CW11+CW15</f>
        <v>62959.482000000004</v>
      </c>
      <c r="E62" s="67"/>
      <c r="F62" s="89" t="s">
        <v>153</v>
      </c>
      <c r="G62" s="91">
        <f>P55</f>
        <v>7311597.4034668664</v>
      </c>
      <c r="H62" s="92"/>
      <c r="I62" s="86"/>
      <c r="J62" s="66"/>
      <c r="N62" s="67"/>
      <c r="O62" s="67"/>
      <c r="P62" s="152"/>
      <c r="Q62" s="71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22002501.866078101</v>
      </c>
      <c r="E63" s="67" t="s">
        <v>205</v>
      </c>
      <c r="F63" s="89" t="s">
        <v>155</v>
      </c>
      <c r="G63" s="91">
        <f>R55</f>
        <v>3117423.0245100004</v>
      </c>
      <c r="H63" s="93"/>
      <c r="I63" s="94"/>
      <c r="J63" s="57"/>
      <c r="N63" s="153"/>
      <c r="O63" s="153"/>
      <c r="P63" s="151"/>
      <c r="Q63" s="71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0</v>
      </c>
      <c r="E64" s="67"/>
      <c r="H64" s="57"/>
      <c r="I64" s="77"/>
      <c r="J64" s="66"/>
      <c r="N64" s="153"/>
      <c r="O64" s="153"/>
      <c r="P64" s="152"/>
      <c r="Q64" s="71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153"/>
      <c r="O65" s="153"/>
      <c r="P65" s="152"/>
      <c r="Q65" s="71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152"/>
      <c r="Q66" s="71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71"/>
      <c r="Q67" s="71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48066370.969999991</v>
      </c>
      <c r="H68" s="57"/>
      <c r="I68" s="98"/>
      <c r="J68" s="108"/>
      <c r="M68" s="101"/>
      <c r="N68" s="101"/>
      <c r="O68" s="69"/>
      <c r="P68" s="6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2405509.0999999996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-10270103.5305466</v>
      </c>
      <c r="E73" s="71"/>
      <c r="F73" s="114" t="s">
        <v>163</v>
      </c>
      <c r="G73" s="115">
        <f>L55*1000</f>
        <v>262192754.23414329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-3583667.7376600001</v>
      </c>
      <c r="E74" s="67">
        <v>20776.071</v>
      </c>
      <c r="F74" s="114" t="s">
        <v>165</v>
      </c>
      <c r="G74" s="115">
        <f>M55*1000</f>
        <v>200131550.82147941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0</v>
      </c>
      <c r="E75" s="67"/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0</v>
      </c>
      <c r="E76" s="57"/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-4200000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-2486435.7928865999</v>
      </c>
      <c r="E81" s="101" t="s">
        <v>205</v>
      </c>
      <c r="F81" s="128" t="s">
        <v>172</v>
      </c>
      <c r="G81" s="126">
        <f>AH55</f>
        <v>21297.839999997261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206711.94872400683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109.423</v>
      </c>
      <c r="L92" s="143">
        <f>BA50+BA51+BA53+BA40+BA42+BA43+BA45</f>
        <v>-7.6589999999999998</v>
      </c>
      <c r="M92" s="144">
        <f t="shared" si="10"/>
        <v>206813.71272400682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136146.99715368054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136146.99715368054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52053.676533996797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0</v>
      </c>
      <c r="M94" s="144">
        <f t="shared" si="10"/>
        <v>52053.676533996797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273066.24184799852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144.53399999999999</v>
      </c>
      <c r="L98" s="143">
        <f>BC50+BC51+BC53+BC40+BC42+BC43+BC45</f>
        <v>-10.127000000000001</v>
      </c>
      <c r="M98" s="144">
        <f t="shared" si="10"/>
        <v>273200.64884799853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71583.164219991173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37.89</v>
      </c>
      <c r="L99" s="143">
        <f>BB50+BB51+BB53+BB40+BB42+BB43+BB45</f>
        <v>-2.6520000000000001</v>
      </c>
      <c r="M99" s="144">
        <f t="shared" si="10"/>
        <v>71618.402219991171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17447.089599989849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9.2349999999999994</v>
      </c>
      <c r="L104" s="143">
        <f>BD50+BD51+BD53+BD40+BD42+BD43+BD45</f>
        <v>-0.64600000000000002</v>
      </c>
      <c r="M104" s="144">
        <f t="shared" si="10"/>
        <v>17455.678599989849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4468672.0798879992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4468672.0798879992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452984.88967567927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109.423</v>
      </c>
      <c r="L108" s="98">
        <f t="shared" si="11"/>
        <v>-7.6589999999999998</v>
      </c>
      <c r="M108" s="98">
        <f t="shared" si="11"/>
        <v>453086.65367567923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848287.06477235281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182.42399999999998</v>
      </c>
      <c r="L109" s="98">
        <f t="shared" si="12"/>
        <v>-12.779</v>
      </c>
      <c r="M109" s="98">
        <f t="shared" si="12"/>
        <v>848456.70977235283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4746092.7459914293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9.2349999999999994</v>
      </c>
      <c r="L110" s="98">
        <f t="shared" si="13"/>
        <v>-0.64600000000000002</v>
      </c>
      <c r="M110" s="98">
        <f t="shared" si="13"/>
        <v>4746101.334991429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1"/>
  <dimension ref="A1:CW13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D6" sqref="D6:CV6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26'!D55</f>
        <v>455539.6742199451</v>
      </c>
      <c r="E5" s="18">
        <f>'SEP 26'!E55</f>
        <v>7161260.4222799568</v>
      </c>
      <c r="F5" s="18">
        <f>'SEP 26'!F55</f>
        <v>11958772.778444394</v>
      </c>
      <c r="G5" s="18">
        <f>'SEP 26'!G55</f>
        <v>0</v>
      </c>
      <c r="H5" s="18">
        <f>'SEP 26'!H55</f>
        <v>0</v>
      </c>
      <c r="I5" s="18">
        <f>'SEP 26'!I55</f>
        <v>75265.291824578351</v>
      </c>
      <c r="J5" s="18">
        <f>'SEP 26'!J55</f>
        <v>0</v>
      </c>
      <c r="K5" s="18">
        <f>'SEP 26'!K55</f>
        <v>163081.68768414296</v>
      </c>
      <c r="L5" s="18">
        <f>'SEP 26'!L55</f>
        <v>262192.7542341433</v>
      </c>
      <c r="M5" s="18">
        <f>'SEP 26'!M55</f>
        <v>200131.55082147941</v>
      </c>
      <c r="N5" s="18">
        <f>'SEP 26'!N55</f>
        <v>120822.5199999999</v>
      </c>
      <c r="O5" s="18">
        <f>'SEP 26'!O55</f>
        <v>485514.42259319959</v>
      </c>
      <c r="P5" s="18">
        <f>'SEP 26'!P55</f>
        <v>7311597.4034668664</v>
      </c>
      <c r="Q5" s="18">
        <f>'SEP 26'!Q55</f>
        <v>28529022.983994693</v>
      </c>
      <c r="R5" s="18">
        <f>'SEP 26'!R55</f>
        <v>3117423.0245100004</v>
      </c>
      <c r="S5" s="18">
        <f>'SEP 26'!S55</f>
        <v>12856213.289518727</v>
      </c>
      <c r="T5" s="18">
        <f>'SEP 26'!T55</f>
        <v>56575.250000000007</v>
      </c>
      <c r="U5" s="18">
        <f>'SEP 26'!U55</f>
        <v>227353.77856949999</v>
      </c>
      <c r="V5" s="18">
        <f>'SEP 26'!V55</f>
        <v>48066370.969999991</v>
      </c>
      <c r="W5" s="18">
        <f>'SEP 26'!W55</f>
        <v>191341650.06916797</v>
      </c>
      <c r="X5" s="18">
        <f>'SEP 26'!X55</f>
        <v>2405509.0999999996</v>
      </c>
      <c r="Y5" s="18">
        <f>'SEP 26'!Y55</f>
        <v>9664866.7635749988</v>
      </c>
      <c r="Z5" s="18">
        <f>'SEP 26'!Z55</f>
        <v>9662.5274983807467</v>
      </c>
      <c r="AA5" s="18">
        <f>'SEP 26'!AA55</f>
        <v>38827.997124768175</v>
      </c>
      <c r="AB5" s="18">
        <f>'SEP 26'!AB55</f>
        <v>7542.7499999967404</v>
      </c>
      <c r="AC5" s="18">
        <f>'SEP 26'!AC55</f>
        <v>30309.862027486903</v>
      </c>
      <c r="AD5" s="18">
        <f>'SEP 26'!AD55</f>
        <v>5155</v>
      </c>
      <c r="AE5" s="18">
        <f>'SEP 26'!AE55</f>
        <v>20714.903549999999</v>
      </c>
      <c r="AF5" s="18">
        <f>'SEP 26'!AF55</f>
        <v>7956.8699999451637</v>
      </c>
      <c r="AG5" s="18">
        <f>'SEP 26'!AG55</f>
        <v>31973.965976479645</v>
      </c>
      <c r="AH5" s="18">
        <f>'SEP 26'!AH55</f>
        <v>21297.839999997261</v>
      </c>
      <c r="AI5" s="18">
        <f>'SEP 26'!AI55</f>
        <v>122794.66363258875</v>
      </c>
      <c r="AJ5" s="18">
        <f>'SEP 26'!AJ55</f>
        <v>675895.70999999822</v>
      </c>
      <c r="AK5" s="18">
        <f>'SEP 26'!AK55</f>
        <v>2716026.0800210927</v>
      </c>
      <c r="AL5" s="18">
        <f>'SEP 26'!AL55</f>
        <v>15955097.461765243</v>
      </c>
      <c r="AM5" s="18">
        <f>'SEP 26'!AM55</f>
        <v>97574435.106815338</v>
      </c>
      <c r="AN5" s="18">
        <f>'SEP 26'!AN55</f>
        <v>4853701.1557200011</v>
      </c>
      <c r="AO5" s="18">
        <f>'SEP 26'!AO55</f>
        <v>861525.45316744002</v>
      </c>
      <c r="AP5" s="18">
        <f>'SEP 26'!AP55</f>
        <v>7620995.5088501452</v>
      </c>
      <c r="AQ5" s="18">
        <f>'SEP 26'!AQ55</f>
        <v>1908895.0415161632</v>
      </c>
      <c r="AR5" s="18">
        <f>'SEP 26'!AR55</f>
        <v>33467.106463993005</v>
      </c>
      <c r="AS5" s="18">
        <f>'SEP 26'!AS55</f>
        <v>6.3419079996137473</v>
      </c>
      <c r="AT5" s="18">
        <f>'SEP 26'!AT55</f>
        <v>11.326432002509915</v>
      </c>
      <c r="AU5" s="18">
        <f>'SEP 26'!AU55</f>
        <v>70852.565203997277</v>
      </c>
      <c r="AV5" s="18">
        <f>'SEP 26'!AV55</f>
        <v>529097.77060280275</v>
      </c>
      <c r="AW5" s="18">
        <f>'SEP 26'!AW55</f>
        <v>52053.676533996797</v>
      </c>
      <c r="AX5" s="18">
        <f>'SEP 26'!AX55</f>
        <v>1064.5961240010877</v>
      </c>
      <c r="AY5" s="18">
        <f>'SEP 26'!AY55</f>
        <v>4468672.0798879992</v>
      </c>
      <c r="AZ5" s="18">
        <f>'SEP 26'!AZ55</f>
        <v>23756.924137323233</v>
      </c>
      <c r="BA5" s="18">
        <f>'SEP 26'!BA55</f>
        <v>206813.71272400682</v>
      </c>
      <c r="BB5" s="18">
        <f>'SEP 26'!BB55</f>
        <v>71618.402219991171</v>
      </c>
      <c r="BC5" s="18">
        <f>'SEP 26'!BC55</f>
        <v>273200.64884799853</v>
      </c>
      <c r="BD5" s="18">
        <f>'SEP 26'!BD55</f>
        <v>17455.678599989849</v>
      </c>
      <c r="BE5" s="18">
        <f>'SEP 26'!BE55</f>
        <v>136146.99715368054</v>
      </c>
      <c r="BF5" s="18">
        <f>'SEP 26'!BF55</f>
        <v>294827.49323035986</v>
      </c>
      <c r="BG5" s="18">
        <f>'SEP 26'!BG55</f>
        <v>35110.408018882757</v>
      </c>
      <c r="BH5" s="18">
        <f>'SEP 26'!BH55</f>
        <v>24605.160800002101</v>
      </c>
      <c r="BI5" s="18">
        <f>'SEP 26'!BI55</f>
        <v>207727.90101</v>
      </c>
      <c r="BJ5" s="18">
        <f>'SEP 26'!BJ55</f>
        <v>154010.6032805602</v>
      </c>
      <c r="BK5" s="18">
        <f>'SEP 26'!BK55</f>
        <v>4885909.5036820117</v>
      </c>
      <c r="BL5" s="18">
        <f>'SEP 26'!BL55</f>
        <v>115488.41428244607</v>
      </c>
      <c r="BM5" s="18">
        <f>'SEP 26'!BM55</f>
        <v>1094873.0732871636</v>
      </c>
      <c r="BN5" s="18">
        <f>'SEP 26'!BN55</f>
        <v>1247453.8033373822</v>
      </c>
      <c r="BO5" s="18">
        <f>'SEP 26'!BO55</f>
        <v>3.4691202304202307E-3</v>
      </c>
      <c r="BP5" s="18">
        <f>'SEP 26'!BP55</f>
        <v>261.92330932906549</v>
      </c>
      <c r="BQ5" s="18">
        <f>'SEP 26'!BQ55</f>
        <v>4.0128798844989433E-3</v>
      </c>
      <c r="BR5" s="18">
        <f>'SEP 26'!BR55</f>
        <v>1800054.7960000036</v>
      </c>
      <c r="BS5" s="18">
        <f>'SEP 26'!BS55</f>
        <v>7048131.3976754891</v>
      </c>
      <c r="BT5" s="18">
        <f>'SEP 26'!BT55</f>
        <v>219889.24493201787</v>
      </c>
      <c r="BU5" s="18">
        <f>'SEP 26'!BU55</f>
        <v>865881.3438094887</v>
      </c>
      <c r="BV5" s="18">
        <f>'SEP 26'!BV55</f>
        <v>9298.8778600000005</v>
      </c>
      <c r="BW5" s="18">
        <f>'SEP 26'!BW55</f>
        <v>145165.13399999999</v>
      </c>
      <c r="BX5" s="18">
        <f>'SEP 26'!BX55</f>
        <v>22663.665000000001</v>
      </c>
      <c r="BY5" s="18">
        <f>'SEP 26'!BY55</f>
        <v>573827.32294000045</v>
      </c>
      <c r="BZ5" s="18">
        <f>'SEP 26'!BZ55</f>
        <v>-35054.101860009599</v>
      </c>
      <c r="CA5" s="18">
        <f>'SEP 26'!CA55</f>
        <v>5124063.1755599938</v>
      </c>
      <c r="CB5" s="18">
        <f>'SEP 26'!CB55</f>
        <v>20118.565999999999</v>
      </c>
      <c r="CC5" s="18">
        <f>'SEP 26'!CC55</f>
        <v>1116667.219</v>
      </c>
      <c r="CD5" s="18">
        <f>'SEP 26'!CD55</f>
        <v>0</v>
      </c>
      <c r="CE5" s="18">
        <f>'SEP 26'!CE55</f>
        <v>2.9999999933352228E-3</v>
      </c>
      <c r="CF5" s="18">
        <f>'SEP 26'!CF55</f>
        <v>606937.40159999998</v>
      </c>
      <c r="CG5" s="18">
        <f>'SEP 26'!CG55</f>
        <v>411364.61849999998</v>
      </c>
      <c r="CH5" s="18">
        <f>'SEP 26'!CH55</f>
        <v>2.9318200000000001</v>
      </c>
      <c r="CI5" s="18">
        <f>'SEP 26'!CI55</f>
        <v>832087.45620999916</v>
      </c>
      <c r="CJ5" s="18">
        <f>'SEP 26'!CJ55</f>
        <v>122505.27103999977</v>
      </c>
      <c r="CK5" s="18">
        <f>'SEP 26'!CK55</f>
        <v>0</v>
      </c>
      <c r="CL5" s="18">
        <f>'SEP 26'!CL55</f>
        <v>0</v>
      </c>
      <c r="CM5" s="18">
        <f>'SEP 26'!CM55</f>
        <v>79545.207070000004</v>
      </c>
      <c r="CN5" s="18">
        <f>'SEP 26'!CN55</f>
        <v>647657.33605000004</v>
      </c>
      <c r="CO5" s="18">
        <f>'SEP 26'!CO55</f>
        <v>736464.8368199995</v>
      </c>
      <c r="CP5" s="18">
        <f>'SEP 26'!CP55</f>
        <v>9152723.6727600005</v>
      </c>
      <c r="CQ5" s="18">
        <f>'SEP 26'!CQ55</f>
        <v>377715.39094000001</v>
      </c>
      <c r="CR5" s="18">
        <f>'SEP 26'!CR55</f>
        <v>14148.404510000371</v>
      </c>
      <c r="CS5" s="18">
        <f>'SEP 26'!CS55</f>
        <v>5013.4199999999992</v>
      </c>
      <c r="CT5" s="18">
        <f>'SEP 26'!CT55</f>
        <v>20149.387893799994</v>
      </c>
      <c r="CU5" s="18">
        <f>'SEP 26'!CU55</f>
        <v>5013.4199999999992</v>
      </c>
      <c r="CV5" s="18">
        <f>'SEP 26'!CV55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436972862.69174701</v>
      </c>
    </row>
    <row r="6" spans="1:101" s="20" customFormat="1" x14ac:dyDescent="0.3">
      <c r="A6" s="173"/>
      <c r="B6" s="19"/>
      <c r="C6" s="19" t="s">
        <v>91</v>
      </c>
      <c r="D6" s="19">
        <v>-51664.689590000002</v>
      </c>
      <c r="E6" s="19">
        <v>-3483132.5514799962</v>
      </c>
      <c r="F6" s="19">
        <v>10098910.054330003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-247</v>
      </c>
      <c r="BS6" s="19">
        <v>-965.30563999999993</v>
      </c>
      <c r="BT6" s="19">
        <v>-620</v>
      </c>
      <c r="BU6" s="19">
        <v>-2423.0344</v>
      </c>
      <c r="BV6" s="19">
        <v>-308.65400000000045</v>
      </c>
      <c r="BW6" s="19">
        <v>14185.536000000022</v>
      </c>
      <c r="BX6" s="19">
        <v>0</v>
      </c>
      <c r="BY6" s="19">
        <v>-2942.0279999999461</v>
      </c>
      <c r="BZ6" s="19">
        <v>-2309637.3009999995</v>
      </c>
      <c r="CA6" s="19">
        <v>-1904308.2640000004</v>
      </c>
      <c r="CB6" s="19">
        <v>0</v>
      </c>
      <c r="CC6" s="19">
        <v>0</v>
      </c>
      <c r="CD6" s="19">
        <v>0</v>
      </c>
      <c r="CE6" s="19">
        <v>0</v>
      </c>
      <c r="CF6" s="19">
        <v>104439.46600000001</v>
      </c>
      <c r="CG6" s="19">
        <v>1138.4530000000377</v>
      </c>
      <c r="CH6" s="19">
        <v>0</v>
      </c>
      <c r="CI6" s="19">
        <v>12120.489230000065</v>
      </c>
      <c r="CJ6" s="19">
        <v>15060.800000000003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403874.98462994507</v>
      </c>
      <c r="E8" s="18">
        <f t="shared" si="0"/>
        <v>3678127.8707999606</v>
      </c>
      <c r="F8" s="18">
        <f t="shared" si="0"/>
        <v>22057682.832774397</v>
      </c>
      <c r="G8" s="18">
        <f t="shared" si="0"/>
        <v>0</v>
      </c>
      <c r="H8" s="18">
        <f t="shared" si="0"/>
        <v>0</v>
      </c>
      <c r="I8" s="18">
        <f t="shared" si="0"/>
        <v>75265.291824578351</v>
      </c>
      <c r="J8" s="18">
        <f t="shared" si="0"/>
        <v>0</v>
      </c>
      <c r="K8" s="18">
        <f t="shared" si="0"/>
        <v>163081.68768414296</v>
      </c>
      <c r="L8" s="18">
        <f t="shared" si="0"/>
        <v>262192.7542341433</v>
      </c>
      <c r="M8" s="18">
        <f t="shared" si="0"/>
        <v>200131.55082147941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7311597.4034668664</v>
      </c>
      <c r="Q8" s="18">
        <f t="shared" si="0"/>
        <v>28529022.983994693</v>
      </c>
      <c r="R8" s="18">
        <f t="shared" si="0"/>
        <v>3117423.0245100004</v>
      </c>
      <c r="S8" s="18">
        <f t="shared" si="0"/>
        <v>12856213.289518727</v>
      </c>
      <c r="T8" s="18">
        <f t="shared" si="0"/>
        <v>56575.250000000007</v>
      </c>
      <c r="U8" s="18">
        <f t="shared" si="0"/>
        <v>227353.77856949999</v>
      </c>
      <c r="V8" s="18">
        <f t="shared" si="0"/>
        <v>48066370.969999991</v>
      </c>
      <c r="W8" s="18">
        <f t="shared" si="0"/>
        <v>191341650.06916797</v>
      </c>
      <c r="X8" s="18">
        <f t="shared" si="0"/>
        <v>2405509.0999999996</v>
      </c>
      <c r="Y8" s="18">
        <f t="shared" si="0"/>
        <v>9664866.7635749988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21297.839999997261</v>
      </c>
      <c r="AI8" s="18">
        <f t="shared" si="0"/>
        <v>122794.66363258875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15955097.461765243</v>
      </c>
      <c r="AM8" s="18">
        <f t="shared" si="0"/>
        <v>97574435.106815338</v>
      </c>
      <c r="AN8" s="18">
        <f t="shared" si="0"/>
        <v>4853701.1557200011</v>
      </c>
      <c r="AO8" s="18">
        <f t="shared" si="0"/>
        <v>861525.45316744002</v>
      </c>
      <c r="AP8" s="18">
        <f t="shared" si="0"/>
        <v>7620995.5088501452</v>
      </c>
      <c r="AQ8" s="18">
        <f t="shared" si="0"/>
        <v>1908895.0415161632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52053.676533996797</v>
      </c>
      <c r="AX8" s="18">
        <f t="shared" si="0"/>
        <v>1064.5961240010877</v>
      </c>
      <c r="AY8" s="18">
        <f t="shared" si="0"/>
        <v>4468672.0798879992</v>
      </c>
      <c r="AZ8" s="18">
        <f t="shared" si="0"/>
        <v>23756.924137323233</v>
      </c>
      <c r="BA8" s="18">
        <f t="shared" si="0"/>
        <v>206813.71272400682</v>
      </c>
      <c r="BB8" s="18">
        <f t="shared" si="0"/>
        <v>71618.402219991171</v>
      </c>
      <c r="BC8" s="18">
        <f t="shared" si="0"/>
        <v>273200.64884799853</v>
      </c>
      <c r="BD8" s="18">
        <f t="shared" si="0"/>
        <v>17455.678599989849</v>
      </c>
      <c r="BE8" s="18">
        <f t="shared" si="0"/>
        <v>136146.99715368054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4885909.5036820117</v>
      </c>
      <c r="BL8" s="18">
        <f t="shared" si="0"/>
        <v>115488.41428244607</v>
      </c>
      <c r="BM8" s="18">
        <f t="shared" si="0"/>
        <v>1094873.0732871636</v>
      </c>
      <c r="BN8" s="18">
        <f t="shared" si="0"/>
        <v>1247453.8033373822</v>
      </c>
      <c r="BO8" s="18">
        <f t="shared" si="0"/>
        <v>3.4691202304202307E-3</v>
      </c>
      <c r="BP8" s="18">
        <f t="shared" si="0"/>
        <v>261.92330932906549</v>
      </c>
      <c r="BQ8" s="18">
        <f t="shared" si="0"/>
        <v>4.0128798844989433E-3</v>
      </c>
      <c r="BR8" s="18">
        <f t="shared" si="0"/>
        <v>1799807.7960000036</v>
      </c>
      <c r="BS8" s="18">
        <f t="shared" si="0"/>
        <v>7047166.0920354892</v>
      </c>
      <c r="BT8" s="18">
        <f t="shared" ref="BT8:CV8" si="1">BT5+BT6+BT7</f>
        <v>219269.24493201787</v>
      </c>
      <c r="BU8" s="18">
        <f t="shared" si="1"/>
        <v>863458.30940948869</v>
      </c>
      <c r="BV8" s="18">
        <f t="shared" si="1"/>
        <v>8990.2238600000001</v>
      </c>
      <c r="BW8" s="18">
        <f t="shared" si="1"/>
        <v>159350.67000000001</v>
      </c>
      <c r="BX8" s="18">
        <f t="shared" si="1"/>
        <v>22663.665000000001</v>
      </c>
      <c r="BY8" s="18">
        <f>+BY5+BY6+BY7:BZ7</f>
        <v>570885.29494000052</v>
      </c>
      <c r="BZ8" s="18">
        <f t="shared" si="1"/>
        <v>-2344691.4028600091</v>
      </c>
      <c r="CA8" s="18">
        <f t="shared" si="1"/>
        <v>3219754.9115599934</v>
      </c>
      <c r="CB8" s="18">
        <f t="shared" si="1"/>
        <v>20118.565999999999</v>
      </c>
      <c r="CC8" s="18">
        <f t="shared" si="1"/>
        <v>1116667.219</v>
      </c>
      <c r="CD8" s="18">
        <f t="shared" si="1"/>
        <v>0</v>
      </c>
      <c r="CE8" s="18">
        <f t="shared" si="1"/>
        <v>2.9999999933352228E-3</v>
      </c>
      <c r="CF8" s="18">
        <f t="shared" si="1"/>
        <v>711376.8676</v>
      </c>
      <c r="CG8" s="18">
        <f t="shared" si="1"/>
        <v>412503.07150000002</v>
      </c>
      <c r="CH8" s="18">
        <f t="shared" si="1"/>
        <v>2.9318200000000001</v>
      </c>
      <c r="CI8" s="18">
        <f t="shared" si="1"/>
        <v>844207.94543999922</v>
      </c>
      <c r="CJ8" s="18">
        <f t="shared" si="1"/>
        <v>137566.07103999978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736464.8368199995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14148.404510000371</v>
      </c>
      <c r="CS8" s="18">
        <f t="shared" si="1"/>
        <v>5013.4199999999992</v>
      </c>
      <c r="CT8" s="18">
        <f t="shared" si="1"/>
        <v>20149.387893799994</v>
      </c>
      <c r="CU8" s="18">
        <f t="shared" si="1"/>
        <v>5013.4199999999992</v>
      </c>
      <c r="CV8" s="18">
        <f t="shared" si="1"/>
        <v>20149.387893799994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439463335.66219699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/>
      <c r="F11" s="26"/>
      <c r="G11" s="26"/>
      <c r="H11" s="26"/>
      <c r="I11" s="26"/>
      <c r="J11" s="27"/>
      <c r="K11" s="26"/>
      <c r="L11" s="27">
        <f>43706+1824083+857425+472000+481821.988</f>
        <v>3679035.9879999999</v>
      </c>
      <c r="M11" s="26">
        <v>240383</v>
      </c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9">
        <v>187911.77100000001</v>
      </c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4107330.7590000001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>
        <v>-75000000</v>
      </c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-75000000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>
        <v>-1858783.3330000001</v>
      </c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-1858783.3330000001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/>
      <c r="M19" s="2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0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>
        <v>-39045482.5</v>
      </c>
      <c r="M20" s="29"/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-39045482.5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0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51603723.913000003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51603723.913000003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>
        <v>59727963.887000002</v>
      </c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59727963.887000002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0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>
        <v>-2540000</v>
      </c>
      <c r="Q26" s="26">
        <f>(P26*3908.12)/1000</f>
        <v>-9926624.8000000007</v>
      </c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-9926624.8000000007</v>
      </c>
    </row>
    <row r="27" spans="1:101" x14ac:dyDescent="0.3">
      <c r="A27" s="166"/>
      <c r="B27" s="24" t="s">
        <v>95</v>
      </c>
      <c r="C27" s="25" t="s">
        <v>114</v>
      </c>
      <c r="D27" s="26">
        <v>51000</v>
      </c>
      <c r="E27" s="29">
        <f>18000000+3676000</f>
        <v>21676000</v>
      </c>
      <c r="F27" s="29">
        <v>4314000</v>
      </c>
      <c r="G27" s="26"/>
      <c r="H27" s="26"/>
      <c r="I27" s="26"/>
      <c r="J27" s="26"/>
      <c r="K27" s="26"/>
      <c r="L27" s="27">
        <v>7000000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>
        <v>3900000</v>
      </c>
      <c r="CA27" s="26">
        <v>4000000</v>
      </c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40941000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/>
      <c r="F28" s="26"/>
      <c r="G28" s="26"/>
      <c r="H28" s="26"/>
      <c r="I28" s="26"/>
      <c r="J28" s="26"/>
      <c r="K28" s="26"/>
      <c r="L28" s="27">
        <v>-5800000</v>
      </c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-5800000</v>
      </c>
    </row>
    <row r="29" spans="1:101" x14ac:dyDescent="0.3">
      <c r="A29" s="166"/>
      <c r="B29" s="24"/>
      <c r="C29" s="25" t="s">
        <v>116</v>
      </c>
      <c r="D29" s="26"/>
      <c r="E29" s="29"/>
      <c r="F29" s="29"/>
      <c r="G29" s="26"/>
      <c r="H29" s="26"/>
      <c r="I29" s="29"/>
      <c r="J29" s="26"/>
      <c r="K29" s="26"/>
      <c r="L29" s="29"/>
      <c r="M29" s="29"/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0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540000+920000</f>
        <v>1460000</v>
      </c>
      <c r="W35" s="38">
        <f>(V35*3908.12)/1000</f>
        <v>5705855.2000000002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5705855.2000000002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/>
      <c r="M38" s="39"/>
      <c r="N38" s="38"/>
      <c r="O38" s="38"/>
      <c r="P38" s="38">
        <v>-608560.93999999994</v>
      </c>
      <c r="Q38" s="38">
        <f>(P38*3908.12)/1000</f>
        <v>-2378329.1808328</v>
      </c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-2378329.1808328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>
        <f>-13281.44506-12665.30945-1291451.35347</f>
        <v>-1317398.1079799999</v>
      </c>
      <c r="F40" s="44">
        <f>-19346.18924-25570.2727799999-6249.83891-2786.19143</f>
        <v>-53952.492359999997</v>
      </c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4">
        <f>-94124.83559-14268.31956-5922.10031-4511.9349</f>
        <v>-118827.19036000001</v>
      </c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-1490177.7906999998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/>
      <c r="F44" s="44"/>
      <c r="G44" s="45"/>
      <c r="H44" s="45"/>
      <c r="I44" s="45"/>
      <c r="J44" s="45"/>
      <c r="K44" s="45"/>
      <c r="L44" s="44"/>
      <c r="M44" s="44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>
        <f>-26.495-8.832</f>
        <v>-35.326999999999998</v>
      </c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-35.326999999999998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>
        <v>5591013.915</v>
      </c>
      <c r="M48" s="48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5591013.915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f>-2.925-0.01</f>
        <v>-2.9349999999999996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>
        <v>-2.5539999999999998</v>
      </c>
      <c r="BB50" s="49">
        <v>-0.88400000000000001</v>
      </c>
      <c r="BC50" s="49">
        <v>-3.3740000000000001</v>
      </c>
      <c r="BD50" s="49">
        <v>-0.216</v>
      </c>
      <c r="BE50" s="49"/>
      <c r="BF50" s="49"/>
      <c r="BG50" s="49"/>
      <c r="BH50" s="49"/>
      <c r="BI50" s="49"/>
      <c r="BJ50" s="49"/>
      <c r="BK50" s="49"/>
      <c r="BL50" s="49">
        <v>-4.4880000000000004</v>
      </c>
      <c r="BM50" s="49">
        <v>-42.542999999999999</v>
      </c>
      <c r="BN50" s="49">
        <v>-48.472000000000001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-105.46600000000001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-1623.3689999999999</v>
      </c>
      <c r="F51" s="49"/>
      <c r="G51" s="49"/>
      <c r="H51" s="49"/>
      <c r="I51" s="49"/>
      <c r="J51" s="49"/>
      <c r="K51" s="48"/>
      <c r="L51" s="48">
        <f>-8.259-0.01</f>
        <v>-8.2690000000000001</v>
      </c>
      <c r="M51" s="48">
        <v>-12.388</v>
      </c>
      <c r="N51" s="49">
        <v>-45</v>
      </c>
      <c r="O51" s="49">
        <f>(N51*3908.12)/1000</f>
        <v>-175.86539999999999</v>
      </c>
      <c r="P51" s="49">
        <v>-915</v>
      </c>
      <c r="Q51" s="49">
        <f>(P51*3908.12)/1000</f>
        <v>-3575.9297999999999</v>
      </c>
      <c r="R51" s="49">
        <v>-269</v>
      </c>
      <c r="S51" s="49">
        <f>(R51*3908.12)/1000</f>
        <v>-1051.2842800000001</v>
      </c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-6447.1054799999993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v>41.779400000000003</v>
      </c>
      <c r="J52" s="49"/>
      <c r="K52" s="49"/>
      <c r="L52" s="48"/>
      <c r="M52" s="48"/>
      <c r="N52" s="49"/>
      <c r="O52" s="49"/>
      <c r="P52" s="49"/>
      <c r="Q52" s="49"/>
      <c r="R52" s="49">
        <v>650.16</v>
      </c>
      <c r="S52" s="49">
        <f>(R52*3908.12)/1000</f>
        <v>2540.9032991999998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>
        <v>36.482999999999997</v>
      </c>
      <c r="BB52" s="49">
        <v>12.634</v>
      </c>
      <c r="BC52" s="49">
        <v>48.194000000000003</v>
      </c>
      <c r="BD52" s="49">
        <v>3.0790000000000002</v>
      </c>
      <c r="BE52" s="49"/>
      <c r="BF52" s="49"/>
      <c r="BG52" s="49"/>
      <c r="BH52" s="49"/>
      <c r="BI52" s="49"/>
      <c r="BJ52" s="49"/>
      <c r="BK52" s="49"/>
      <c r="BL52" s="49">
        <v>64.107079999999996</v>
      </c>
      <c r="BM52" s="49">
        <v>607.75909000000001</v>
      </c>
      <c r="BN52" s="49">
        <v>692.45596999999998</v>
      </c>
      <c r="BO52" s="49"/>
      <c r="BP52" s="49">
        <f>145.38/1000-0.01</f>
        <v>0.13538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4047.5302191999999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-5276.085907919999</v>
      </c>
      <c r="F53" s="49">
        <f>(F10+F13+F16+F17+F33+F38+F47+F35)*4/1000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-307435.16640799999</v>
      </c>
      <c r="M53" s="48">
        <f>(M10+M13+M17+M33+M38+M40+M51+M36+M49+M16)*4/1000</f>
        <v>-4.9551999999999999E-2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0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-475.30876144000001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 t="shared" si="5"/>
        <v>0</v>
      </c>
      <c r="AW53" s="49">
        <f t="shared" si="5"/>
        <v>-0.14130799999999999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 t="shared" si="5"/>
        <v>0</v>
      </c>
      <c r="BI53" s="49">
        <f t="shared" si="5"/>
        <v>0</v>
      </c>
      <c r="BJ53" s="49">
        <f t="shared" si="5"/>
        <v>0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-313186.75193735998</v>
      </c>
    </row>
    <row r="54" spans="1:101" x14ac:dyDescent="0.3">
      <c r="C54" s="50" t="s">
        <v>141</v>
      </c>
      <c r="D54" s="51">
        <f t="shared" ref="D54:AM54" si="6">SUM(D9:D53)</f>
        <v>51000</v>
      </c>
      <c r="E54" s="51">
        <f t="shared" si="6"/>
        <v>20351702.437112082</v>
      </c>
      <c r="F54" s="51">
        <f>SUM(F9:F53)</f>
        <v>4260047.5076400004</v>
      </c>
      <c r="G54" s="51">
        <f t="shared" si="6"/>
        <v>0</v>
      </c>
      <c r="H54" s="51">
        <f t="shared" si="6"/>
        <v>0</v>
      </c>
      <c r="I54" s="51">
        <f t="shared" si="6"/>
        <v>38.8444</v>
      </c>
      <c r="J54" s="51">
        <f t="shared" si="6"/>
        <v>0</v>
      </c>
      <c r="K54" s="51">
        <f t="shared" si="6"/>
        <v>0</v>
      </c>
      <c r="L54" s="52">
        <f>SUM(L9:L53)</f>
        <v>5590028.4345920058</v>
      </c>
      <c r="M54" s="51">
        <f t="shared" si="6"/>
        <v>240370.56244799998</v>
      </c>
      <c r="N54" s="51">
        <f t="shared" si="6"/>
        <v>-45</v>
      </c>
      <c r="O54" s="51">
        <f t="shared" si="6"/>
        <v>-175.86539999999999</v>
      </c>
      <c r="P54" s="51">
        <f t="shared" si="6"/>
        <v>-3149475.94</v>
      </c>
      <c r="Q54" s="51">
        <f t="shared" si="6"/>
        <v>-12308529.9106328</v>
      </c>
      <c r="R54" s="51">
        <f t="shared" si="6"/>
        <v>381.15999999999997</v>
      </c>
      <c r="S54" s="51">
        <f t="shared" si="6"/>
        <v>1489.6190191999997</v>
      </c>
      <c r="T54" s="51">
        <f t="shared" si="6"/>
        <v>0</v>
      </c>
      <c r="U54" s="51">
        <f t="shared" si="6"/>
        <v>0</v>
      </c>
      <c r="V54" s="51">
        <f t="shared" si="6"/>
        <v>1460000</v>
      </c>
      <c r="W54" s="51">
        <f t="shared" si="6"/>
        <v>5705855.2000000002</v>
      </c>
      <c r="X54" s="51">
        <f t="shared" si="6"/>
        <v>0</v>
      </c>
      <c r="Y54" s="51">
        <f t="shared" si="6"/>
        <v>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0</v>
      </c>
      <c r="AK54" s="51">
        <f t="shared" si="6"/>
        <v>0</v>
      </c>
      <c r="AL54" s="51">
        <f t="shared" si="6"/>
        <v>0</v>
      </c>
      <c r="AM54" s="51">
        <f t="shared" si="6"/>
        <v>187911.77100000001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-119302.49912144001</v>
      </c>
      <c r="AQ54" s="51">
        <f t="shared" si="7"/>
        <v>0</v>
      </c>
      <c r="AR54" s="51">
        <f t="shared" si="7"/>
        <v>0</v>
      </c>
      <c r="AS54" s="51">
        <f t="shared" si="7"/>
        <v>0</v>
      </c>
      <c r="AT54" s="51">
        <f t="shared" si="7"/>
        <v>0</v>
      </c>
      <c r="AU54" s="51">
        <f t="shared" si="7"/>
        <v>0</v>
      </c>
      <c r="AV54" s="51">
        <f t="shared" si="7"/>
        <v>0</v>
      </c>
      <c r="AW54" s="51">
        <f t="shared" si="7"/>
        <v>-35.468308</v>
      </c>
      <c r="AX54" s="51">
        <f t="shared" si="7"/>
        <v>0</v>
      </c>
      <c r="AY54" s="51">
        <f t="shared" si="7"/>
        <v>0</v>
      </c>
      <c r="AZ54" s="51">
        <f t="shared" si="7"/>
        <v>0</v>
      </c>
      <c r="BA54" s="51">
        <f t="shared" si="7"/>
        <v>33.928999999999995</v>
      </c>
      <c r="BB54" s="51">
        <f t="shared" si="7"/>
        <v>11.75</v>
      </c>
      <c r="BC54" s="51">
        <f t="shared" si="7"/>
        <v>44.82</v>
      </c>
      <c r="BD54" s="51">
        <f t="shared" si="7"/>
        <v>2.863</v>
      </c>
      <c r="BE54" s="51">
        <f t="shared" si="7"/>
        <v>0</v>
      </c>
      <c r="BF54" s="51">
        <f t="shared" si="7"/>
        <v>0</v>
      </c>
      <c r="BG54" s="51">
        <f t="shared" si="7"/>
        <v>0</v>
      </c>
      <c r="BH54" s="51">
        <f t="shared" si="7"/>
        <v>0</v>
      </c>
      <c r="BI54" s="51">
        <f t="shared" si="7"/>
        <v>0</v>
      </c>
      <c r="BJ54" s="51">
        <f t="shared" si="7"/>
        <v>0</v>
      </c>
      <c r="BK54" s="51">
        <f t="shared" si="7"/>
        <v>0</v>
      </c>
      <c r="BL54" s="51">
        <f t="shared" si="7"/>
        <v>59.619079999999997</v>
      </c>
      <c r="BM54" s="51">
        <f t="shared" si="7"/>
        <v>565.21609000000001</v>
      </c>
      <c r="BN54" s="51">
        <f t="shared" si="7"/>
        <v>643.98397</v>
      </c>
      <c r="BO54" s="51">
        <f t="shared" si="7"/>
        <v>0</v>
      </c>
      <c r="BP54" s="51">
        <f t="shared" si="7"/>
        <v>0.13538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0</v>
      </c>
      <c r="BZ54" s="51">
        <f>SUM(BZ9:BZ53)</f>
        <v>3900000</v>
      </c>
      <c r="CA54" s="51">
        <f t="shared" si="7"/>
        <v>4000000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31861762.949269049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454874.98462994507</v>
      </c>
      <c r="E55" s="56">
        <f t="shared" si="8"/>
        <v>24029830.307912044</v>
      </c>
      <c r="F55" s="56">
        <f>+F8+F54</f>
        <v>26317730.340414397</v>
      </c>
      <c r="G55" s="56">
        <f t="shared" si="8"/>
        <v>0</v>
      </c>
      <c r="H55" s="56">
        <f t="shared" si="8"/>
        <v>0</v>
      </c>
      <c r="I55" s="56">
        <f t="shared" si="8"/>
        <v>75304.136224578353</v>
      </c>
      <c r="J55" s="56">
        <f t="shared" si="8"/>
        <v>0</v>
      </c>
      <c r="K55" s="56">
        <f t="shared" si="8"/>
        <v>163081.68768414296</v>
      </c>
      <c r="L55" s="56">
        <f t="shared" si="8"/>
        <v>5852221.1888261493</v>
      </c>
      <c r="M55" s="56">
        <f t="shared" si="8"/>
        <v>440502.11326947936</v>
      </c>
      <c r="N55" s="56">
        <f t="shared" si="8"/>
        <v>120777.5199999999</v>
      </c>
      <c r="O55" s="56">
        <f t="shared" si="8"/>
        <v>485338.55719319958</v>
      </c>
      <c r="P55" s="56">
        <f t="shared" si="8"/>
        <v>4162121.4634668664</v>
      </c>
      <c r="Q55" s="56">
        <f t="shared" si="8"/>
        <v>16220493.073361892</v>
      </c>
      <c r="R55" s="56">
        <f t="shared" si="8"/>
        <v>3117804.1845100005</v>
      </c>
      <c r="S55" s="56">
        <f t="shared" si="8"/>
        <v>12857702.908537926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49526370.969999991</v>
      </c>
      <c r="W55" s="56">
        <f t="shared" si="8"/>
        <v>197047505.26916796</v>
      </c>
      <c r="X55" s="56">
        <f t="shared" si="8"/>
        <v>2405509.0999999996</v>
      </c>
      <c r="Y55" s="56">
        <f t="shared" si="8"/>
        <v>9664866.7635749988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21297.839999997261</v>
      </c>
      <c r="AI55" s="56">
        <f t="shared" si="8"/>
        <v>122794.66363258875</v>
      </c>
      <c r="AJ55" s="56">
        <f t="shared" si="8"/>
        <v>675895.70999999822</v>
      </c>
      <c r="AK55" s="56">
        <f t="shared" si="8"/>
        <v>2716026.0800210927</v>
      </c>
      <c r="AL55" s="56">
        <f t="shared" si="8"/>
        <v>15955097.461765243</v>
      </c>
      <c r="AM55" s="56">
        <f t="shared" si="8"/>
        <v>97762346.877815336</v>
      </c>
      <c r="AN55" s="56">
        <f t="shared" si="8"/>
        <v>4853701.1557200011</v>
      </c>
      <c r="AO55" s="56">
        <f t="shared" si="8"/>
        <v>861525.45316744002</v>
      </c>
      <c r="AP55" s="56">
        <f t="shared" si="8"/>
        <v>7501693.0097287055</v>
      </c>
      <c r="AQ55" s="56">
        <f t="shared" si="8"/>
        <v>1908895.0415161632</v>
      </c>
      <c r="AR55" s="56">
        <f t="shared" si="8"/>
        <v>33467.106463993005</v>
      </c>
      <c r="AS55" s="56">
        <f t="shared" si="8"/>
        <v>6.3419079996137473</v>
      </c>
      <c r="AT55" s="56">
        <f t="shared" si="8"/>
        <v>11.326432002509915</v>
      </c>
      <c r="AU55" s="56">
        <f t="shared" si="8"/>
        <v>70852.565203997277</v>
      </c>
      <c r="AV55" s="56">
        <f t="shared" si="8"/>
        <v>529097.77060280275</v>
      </c>
      <c r="AW55" s="56">
        <f t="shared" si="8"/>
        <v>52018.208225996794</v>
      </c>
      <c r="AX55" s="56">
        <f t="shared" si="8"/>
        <v>1064.5961240010877</v>
      </c>
      <c r="AY55" s="56">
        <f t="shared" si="8"/>
        <v>4468672.0798879992</v>
      </c>
      <c r="AZ55" s="56">
        <f t="shared" si="8"/>
        <v>23756.924137323233</v>
      </c>
      <c r="BA55" s="56">
        <f t="shared" si="8"/>
        <v>206847.64172400683</v>
      </c>
      <c r="BB55" s="56">
        <f t="shared" si="8"/>
        <v>71630.152219991171</v>
      </c>
      <c r="BC55" s="56">
        <f t="shared" si="8"/>
        <v>273245.46884799853</v>
      </c>
      <c r="BD55" s="56">
        <f t="shared" si="8"/>
        <v>17458.541599989851</v>
      </c>
      <c r="BE55" s="56">
        <f t="shared" si="8"/>
        <v>136146.99715368054</v>
      </c>
      <c r="BF55" s="56">
        <f t="shared" si="8"/>
        <v>294827.49323035986</v>
      </c>
      <c r="BG55" s="56">
        <f t="shared" si="8"/>
        <v>35110.408018882757</v>
      </c>
      <c r="BH55" s="56">
        <f t="shared" si="8"/>
        <v>24605.160800002101</v>
      </c>
      <c r="BI55" s="56">
        <f t="shared" si="8"/>
        <v>207727.90101</v>
      </c>
      <c r="BJ55" s="56">
        <f t="shared" si="8"/>
        <v>154010.6032805602</v>
      </c>
      <c r="BK55" s="56">
        <f t="shared" si="8"/>
        <v>4885909.5036820117</v>
      </c>
      <c r="BL55" s="56">
        <f t="shared" si="8"/>
        <v>115548.03336244608</v>
      </c>
      <c r="BM55" s="56">
        <f t="shared" si="8"/>
        <v>1095438.2893771636</v>
      </c>
      <c r="BN55" s="56">
        <f t="shared" si="8"/>
        <v>1248097.7873073821</v>
      </c>
      <c r="BO55" s="56">
        <f t="shared" si="8"/>
        <v>3.4691202304202307E-3</v>
      </c>
      <c r="BP55" s="56">
        <f t="shared" si="8"/>
        <v>262.05868932906549</v>
      </c>
      <c r="BQ55" s="56">
        <f t="shared" si="8"/>
        <v>4.0128798844989433E-3</v>
      </c>
      <c r="BR55" s="56">
        <f t="shared" si="8"/>
        <v>1799807.7960000036</v>
      </c>
      <c r="BS55" s="56">
        <f t="shared" si="8"/>
        <v>7047166.0920354892</v>
      </c>
      <c r="BT55" s="56">
        <f t="shared" ref="BT55:CV55" si="9">+BT8+BT54</f>
        <v>219269.24493201787</v>
      </c>
      <c r="BU55" s="56">
        <f t="shared" si="9"/>
        <v>863458.30940948869</v>
      </c>
      <c r="BV55" s="56">
        <f t="shared" si="9"/>
        <v>8990.2238600000001</v>
      </c>
      <c r="BW55" s="56">
        <f t="shared" si="9"/>
        <v>159350.67000000001</v>
      </c>
      <c r="BX55" s="56">
        <f t="shared" si="9"/>
        <v>22663.665000000001</v>
      </c>
      <c r="BY55" s="56">
        <f t="shared" si="9"/>
        <v>570885.29494000052</v>
      </c>
      <c r="BZ55" s="56">
        <f t="shared" si="9"/>
        <v>1555308.5971399909</v>
      </c>
      <c r="CA55" s="56">
        <f t="shared" si="9"/>
        <v>7219754.9115599934</v>
      </c>
      <c r="CB55" s="56">
        <f t="shared" si="9"/>
        <v>20118.565999999999</v>
      </c>
      <c r="CC55" s="56">
        <f t="shared" si="9"/>
        <v>1116667.219</v>
      </c>
      <c r="CD55" s="56">
        <f t="shared" si="9"/>
        <v>0</v>
      </c>
      <c r="CE55" s="56">
        <f t="shared" si="9"/>
        <v>2.9999999933352228E-3</v>
      </c>
      <c r="CF55" s="56">
        <f t="shared" si="9"/>
        <v>711376.8676</v>
      </c>
      <c r="CG55" s="56">
        <f t="shared" si="9"/>
        <v>412503.07150000002</v>
      </c>
      <c r="CH55" s="56">
        <f t="shared" si="9"/>
        <v>2.9318200000000001</v>
      </c>
      <c r="CI55" s="56">
        <f t="shared" si="9"/>
        <v>844207.94543999922</v>
      </c>
      <c r="CJ55" s="56">
        <f t="shared" si="9"/>
        <v>137566.07103999978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736464.8368199995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14148.404510000371</v>
      </c>
      <c r="CS55" s="56">
        <f t="shared" si="9"/>
        <v>5013.4199999999992</v>
      </c>
      <c r="CT55" s="56">
        <f t="shared" si="9"/>
        <v>20149.387893799994</v>
      </c>
      <c r="CU55" s="56">
        <f t="shared" si="9"/>
        <v>5013.4199999999992</v>
      </c>
      <c r="CV55" s="56">
        <f t="shared" si="9"/>
        <v>20149.387893799994</v>
      </c>
      <c r="CW55" s="56">
        <f t="shared" si="2"/>
        <v>471325098.61146599</v>
      </c>
    </row>
    <row r="56" spans="1:101" x14ac:dyDescent="0.3">
      <c r="D56" s="57"/>
      <c r="E56" s="57"/>
      <c r="F56" s="57"/>
      <c r="G56" s="57"/>
      <c r="H56" s="58"/>
      <c r="I56" s="57"/>
      <c r="J56" s="59"/>
      <c r="K56" s="60"/>
      <c r="L56" s="60"/>
      <c r="M56" s="60"/>
      <c r="N56" s="57"/>
      <c r="O56" s="61"/>
      <c r="P56" s="57"/>
      <c r="Q56" s="58"/>
      <c r="R56" s="57"/>
      <c r="S56" s="59"/>
      <c r="T56" s="59"/>
      <c r="U56" s="59"/>
      <c r="V56" s="59"/>
      <c r="W56" s="59"/>
      <c r="X56" s="59"/>
      <c r="Y56" s="59"/>
      <c r="AM56" s="57"/>
      <c r="BA56" s="57"/>
      <c r="BB56" s="57"/>
      <c r="BC56" s="57"/>
      <c r="BD56" s="57"/>
      <c r="BL56" s="57"/>
      <c r="BM56" s="57"/>
      <c r="BN56" s="57"/>
      <c r="BO56" s="57"/>
      <c r="BP56" s="57"/>
      <c r="BQ56" s="57"/>
      <c r="BX56" s="71"/>
      <c r="BY56" s="67"/>
      <c r="BZ56" s="67"/>
      <c r="CA56" s="67"/>
      <c r="CB56" s="71"/>
      <c r="CC56" s="71"/>
      <c r="CD56" s="71"/>
      <c r="CE56" s="71"/>
      <c r="CF56" s="71"/>
      <c r="CG56" s="71"/>
      <c r="CH56" s="71"/>
      <c r="CI56" s="67"/>
      <c r="CJ56" s="67"/>
      <c r="CK56" s="57"/>
      <c r="CL56" s="57"/>
      <c r="CM56" s="57"/>
      <c r="CN56" s="57"/>
      <c r="CO56" s="57"/>
      <c r="CP56" s="57"/>
      <c r="CQ56" s="57"/>
    </row>
    <row r="57" spans="1:101" ht="18" x14ac:dyDescent="0.35">
      <c r="D57" s="62"/>
      <c r="E57" s="62"/>
      <c r="F57" s="62"/>
      <c r="G57" s="63"/>
      <c r="H57" s="64"/>
      <c r="I57" s="65"/>
      <c r="J57" s="149"/>
      <c r="L57" s="67"/>
      <c r="N57" s="67"/>
      <c r="O57" s="67"/>
      <c r="P57" s="151"/>
      <c r="Q57" s="71"/>
      <c r="R57" s="69"/>
      <c r="S57" s="70"/>
      <c r="T57" s="70"/>
      <c r="U57" s="70"/>
      <c r="V57" s="70"/>
      <c r="W57" s="70"/>
      <c r="X57" s="70"/>
      <c r="Y57" s="70"/>
      <c r="Z57" s="71"/>
      <c r="AA57" s="63"/>
      <c r="AJ57" s="71"/>
      <c r="AK57" s="72"/>
      <c r="AL57" s="73"/>
      <c r="AM57" s="73"/>
      <c r="AN57" s="71"/>
      <c r="AO57" s="57"/>
      <c r="AP57" s="57"/>
      <c r="AQ57" s="57"/>
      <c r="BA57" s="58"/>
      <c r="BB57" s="58"/>
      <c r="BC57" s="58"/>
      <c r="BD57" s="58"/>
      <c r="BL57" s="74"/>
      <c r="BM57" s="57"/>
      <c r="BN57" s="57"/>
      <c r="BO57" s="75"/>
      <c r="BP57" s="75"/>
      <c r="BQ57" s="75"/>
      <c r="BX57" s="71"/>
      <c r="BY57" s="155"/>
      <c r="BZ57" s="155"/>
      <c r="CA57" s="155"/>
      <c r="CB57" s="71"/>
      <c r="CC57" s="71"/>
      <c r="CD57" s="71"/>
      <c r="CE57" s="71"/>
      <c r="CF57" s="71"/>
      <c r="CG57" s="71"/>
      <c r="CH57" s="71"/>
      <c r="CI57" s="67"/>
      <c r="CJ57" s="67"/>
      <c r="CK57" s="57"/>
      <c r="CL57" s="57"/>
      <c r="CM57" s="57"/>
      <c r="CN57" s="57"/>
      <c r="CO57" s="57"/>
      <c r="CP57" s="57"/>
      <c r="CQ57" s="57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N58" s="67"/>
      <c r="O58" s="67"/>
      <c r="P58" s="152"/>
      <c r="Q58" s="71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N59" s="71"/>
      <c r="O59" s="67"/>
      <c r="P59" s="152"/>
      <c r="Q59" s="71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156380018.55900002</v>
      </c>
      <c r="E60" s="71"/>
      <c r="F60" s="84" t="s">
        <v>49</v>
      </c>
      <c r="G60" s="84" t="s">
        <v>149</v>
      </c>
      <c r="H60" s="85"/>
      <c r="I60" s="86"/>
      <c r="J60" s="57"/>
      <c r="N60" s="71"/>
      <c r="O60" s="67"/>
      <c r="P60" s="152"/>
      <c r="Q60" s="71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51603723.913000003</v>
      </c>
      <c r="E61" s="67" t="s">
        <v>205</v>
      </c>
      <c r="F61" s="89" t="s">
        <v>151</v>
      </c>
      <c r="G61" s="90">
        <f>N55</f>
        <v>120777.5199999999</v>
      </c>
      <c r="H61" s="85"/>
      <c r="I61" s="86"/>
      <c r="J61" s="57"/>
      <c r="N61" s="67"/>
      <c r="O61" s="67"/>
      <c r="P61" s="152"/>
      <c r="Q61" s="71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4107330.7590000001</v>
      </c>
      <c r="E62" s="67">
        <v>13883.625</v>
      </c>
      <c r="F62" s="89" t="s">
        <v>153</v>
      </c>
      <c r="G62" s="91">
        <f>P55</f>
        <v>4162121.4634668664</v>
      </c>
      <c r="H62" s="92"/>
      <c r="I62" s="86"/>
      <c r="J62" s="66"/>
      <c r="N62" s="67"/>
      <c r="O62" s="67"/>
      <c r="P62" s="152"/>
      <c r="Q62" s="71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40941000</v>
      </c>
      <c r="E63" s="67" t="s">
        <v>205</v>
      </c>
      <c r="F63" s="89" t="s">
        <v>155</v>
      </c>
      <c r="G63" s="91">
        <f>R55</f>
        <v>3117804.1845100005</v>
      </c>
      <c r="H63" s="93"/>
      <c r="I63" s="94"/>
      <c r="J63" s="57"/>
      <c r="N63" s="153"/>
      <c r="O63" s="153"/>
      <c r="P63" s="151"/>
      <c r="Q63" s="71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59727963.887000002</v>
      </c>
      <c r="E64" s="67" t="s">
        <v>205</v>
      </c>
      <c r="H64" s="57"/>
      <c r="I64" s="77"/>
      <c r="J64" s="66"/>
      <c r="N64" s="153"/>
      <c r="O64" s="153"/>
      <c r="P64" s="152"/>
      <c r="Q64" s="71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153"/>
      <c r="O65" s="153"/>
      <c r="P65" s="152"/>
      <c r="Q65" s="71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152"/>
      <c r="Q66" s="71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71"/>
      <c r="Q67" s="71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49526370.969999991</v>
      </c>
      <c r="H68" s="57"/>
      <c r="I68" s="98"/>
      <c r="J68" s="108"/>
      <c r="M68" s="101"/>
      <c r="N68" s="101"/>
      <c r="O68" s="69"/>
      <c r="P68" s="6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2405509.0999999996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-135499397.60453281</v>
      </c>
      <c r="E73" s="71"/>
      <c r="F73" s="114" t="s">
        <v>163</v>
      </c>
      <c r="G73" s="115">
        <f>L55*1000</f>
        <v>5852221188.826149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-1858783.3330000001</v>
      </c>
      <c r="E74" s="71" t="s">
        <v>205</v>
      </c>
      <c r="F74" s="114" t="s">
        <v>165</v>
      </c>
      <c r="G74" s="115">
        <f>M55*1000</f>
        <v>440502113.26947933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-39045482.5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-75000000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-15726624.800000001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0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-2378329.1808328</v>
      </c>
      <c r="E81" s="101" t="s">
        <v>205</v>
      </c>
      <c r="F81" s="128" t="s">
        <v>172</v>
      </c>
      <c r="G81" s="126">
        <f>AH55</f>
        <v>21297.839999997261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-1490177.7906999998</v>
      </c>
      <c r="E82" s="71" t="s">
        <v>205</v>
      </c>
      <c r="F82" s="128" t="s">
        <v>173</v>
      </c>
      <c r="G82" s="126">
        <f>AJ55</f>
        <v>675895.70999999822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0</v>
      </c>
      <c r="L90" s="143">
        <f>AR50+AR51+AR53+AR40+AR42+AR43+AR45</f>
        <v>0</v>
      </c>
      <c r="M90" s="144">
        <f t="shared" ref="M90:M106" si="10">G90+H90+I90+J90+K90+L90</f>
        <v>33467.106463993005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0</v>
      </c>
      <c r="L91" s="143">
        <f>BH50+BH51+BH53+BH40+BH42+BH43+BH45</f>
        <v>0</v>
      </c>
      <c r="M91" s="144">
        <f t="shared" si="10"/>
        <v>24605.160800002101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206813.71272400682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36.482999999999997</v>
      </c>
      <c r="L92" s="143">
        <f>BA50+BA51+BA53+BA40+BA42+BA43+BA45</f>
        <v>-2.5539999999999998</v>
      </c>
      <c r="M92" s="144">
        <f t="shared" si="10"/>
        <v>206847.64172400683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136146.99715368054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136146.99715368054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52053.676533996797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0</v>
      </c>
      <c r="L94" s="143">
        <f>AW50+AW51+AW53+AW40+AW42+AW43+AW45</f>
        <v>-0.14130799999999999</v>
      </c>
      <c r="M94" s="144">
        <f t="shared" si="10"/>
        <v>52053.535225996799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</v>
      </c>
      <c r="L95" s="143">
        <f>AT50+AT51+AT53+AT40+AT42+AT43+AT45</f>
        <v>0</v>
      </c>
      <c r="M95" s="144">
        <f t="shared" si="10"/>
        <v>11.326432002509915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0</v>
      </c>
      <c r="L96" s="143">
        <f>AS50+AS51+AS53+AS40+AS42+AS43+AS45</f>
        <v>0</v>
      </c>
      <c r="M96" s="144">
        <f t="shared" si="10"/>
        <v>6.3419079996137473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0</v>
      </c>
      <c r="L97" s="143">
        <f>BI50+BI51+BI53+BI40+BI42+BI43+BI45</f>
        <v>0</v>
      </c>
      <c r="M97" s="144">
        <f t="shared" si="10"/>
        <v>207727.90101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273200.64884799853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48.194000000000003</v>
      </c>
      <c r="L98" s="143">
        <f>BC50+BC51+BC53+BC40+BC42+BC43+BC45</f>
        <v>-3.3740000000000001</v>
      </c>
      <c r="M98" s="144">
        <f t="shared" si="10"/>
        <v>273245.46884799853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71618.402219991171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12.634</v>
      </c>
      <c r="L99" s="143">
        <f>BB50+BB51+BB53+BB40+BB42+BB43+BB45</f>
        <v>-0.88400000000000001</v>
      </c>
      <c r="M99" s="144">
        <f t="shared" si="10"/>
        <v>71630.152219991171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0</v>
      </c>
      <c r="L101" s="143">
        <f>AY50+AY51+AY53+AY40+AY42+AY43+AY45</f>
        <v>0</v>
      </c>
      <c r="M101" s="144">
        <f t="shared" si="10"/>
        <v>1064.5961240010877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0</v>
      </c>
      <c r="L102" s="143">
        <f>AU50+AU51+AU53+AU40+AU42+AU43+AU45</f>
        <v>0</v>
      </c>
      <c r="M102" s="144">
        <f t="shared" si="10"/>
        <v>70852.565203997277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</v>
      </c>
      <c r="L103" s="143">
        <f>BJ50+BJ51+BJ53+BJ40+BJ42+BJ43+BJ45</f>
        <v>0</v>
      </c>
      <c r="M103" s="144">
        <f t="shared" si="10"/>
        <v>154010.6032805602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17455.678599989849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3.0790000000000002</v>
      </c>
      <c r="L104" s="143">
        <f>BD50+BD51+BD53+BD40+BD42+BD43+BD45</f>
        <v>-0.216</v>
      </c>
      <c r="M104" s="144">
        <f t="shared" si="10"/>
        <v>17458.541599989851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</v>
      </c>
      <c r="L105" s="143">
        <f>BG50+BG51+BG53+BG40+BG42+BG43+BG45</f>
        <v>0</v>
      </c>
      <c r="M105" s="144">
        <f t="shared" si="10"/>
        <v>35110.408018882757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4468672.0798879992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0</v>
      </c>
      <c r="L106" s="143">
        <f>AY50+AY51+AY53+AY40+AY42+AY43+AY45</f>
        <v>0</v>
      </c>
      <c r="M106" s="144">
        <f t="shared" si="10"/>
        <v>4468672.0798879992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453086.65367567923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36.482999999999997</v>
      </c>
      <c r="L108" s="98">
        <f t="shared" si="11"/>
        <v>-2.6953079999999998</v>
      </c>
      <c r="M108" s="98">
        <f t="shared" si="11"/>
        <v>453120.44136767928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848456.70977235283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60.828000000000003</v>
      </c>
      <c r="L109" s="98">
        <f t="shared" si="12"/>
        <v>-4.258</v>
      </c>
      <c r="M109" s="98">
        <f t="shared" si="12"/>
        <v>848513.27977235278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4746101.334991429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3.0790000000000002</v>
      </c>
      <c r="L110" s="98">
        <f t="shared" si="13"/>
        <v>-0.216</v>
      </c>
      <c r="M110" s="98">
        <f t="shared" si="13"/>
        <v>4746104.1979914289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  <mergeCell ref="A9:A29"/>
    <mergeCell ref="D1:BK1"/>
    <mergeCell ref="BL1:BN1"/>
    <mergeCell ref="BR1:CJ1"/>
    <mergeCell ref="CW2:CW4"/>
    <mergeCell ref="A5:A8"/>
  </mergeCells>
  <pageMargins left="0.7" right="0.7" top="0.75" bottom="0.75" header="0.3" footer="0.3"/>
  <pageSetup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2"/>
  <dimension ref="A1:CW130"/>
  <sheetViews>
    <sheetView zoomScale="115" zoomScaleNormal="115" workbookViewId="0">
      <pane xSplit="3" ySplit="4" topLeftCell="CS42" activePane="bottomRight" state="frozen"/>
      <selection pane="topRight" activeCell="D1" sqref="D1"/>
      <selection pane="bottomLeft" activeCell="A5" sqref="A5"/>
      <selection pane="bottomRight" activeCell="D55" sqref="D55:CV55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29'!D55</f>
        <v>454874.98462994507</v>
      </c>
      <c r="E5" s="18">
        <f>'SEP 29'!E55</f>
        <v>24029830.307912044</v>
      </c>
      <c r="F5" s="18">
        <f>'SEP 29'!F55</f>
        <v>26317730.340414397</v>
      </c>
      <c r="G5" s="18">
        <f>'SEP 29'!G55</f>
        <v>0</v>
      </c>
      <c r="H5" s="18">
        <f>'SEP 29'!H55</f>
        <v>0</v>
      </c>
      <c r="I5" s="18">
        <f>'SEP 29'!I55</f>
        <v>75304.136224578353</v>
      </c>
      <c r="J5" s="18">
        <f>'SEP 29'!J55</f>
        <v>0</v>
      </c>
      <c r="K5" s="18">
        <f>'SEP 29'!K55</f>
        <v>163081.68768414296</v>
      </c>
      <c r="L5" s="18">
        <f>'SEP 29'!L55</f>
        <v>5852221.1888261493</v>
      </c>
      <c r="M5" s="18">
        <f>'SEP 29'!M55</f>
        <v>440502.11326947936</v>
      </c>
      <c r="N5" s="18">
        <f>'SEP 29'!N55</f>
        <v>120777.5199999999</v>
      </c>
      <c r="O5" s="18">
        <f>'SEP 29'!O55</f>
        <v>485338.55719319958</v>
      </c>
      <c r="P5" s="18">
        <f>'SEP 29'!P55</f>
        <v>4162121.4634668664</v>
      </c>
      <c r="Q5" s="18">
        <f>'SEP 29'!Q55</f>
        <v>16220493.073361892</v>
      </c>
      <c r="R5" s="18">
        <f>'SEP 29'!R55</f>
        <v>3117804.1845100005</v>
      </c>
      <c r="S5" s="18">
        <f>'SEP 29'!S55</f>
        <v>12857702.908537926</v>
      </c>
      <c r="T5" s="18">
        <f>'SEP 29'!T55</f>
        <v>56575.250000000007</v>
      </c>
      <c r="U5" s="18">
        <f>'SEP 29'!U55</f>
        <v>227353.77856949999</v>
      </c>
      <c r="V5" s="18">
        <f>'SEP 29'!V55</f>
        <v>49526370.969999991</v>
      </c>
      <c r="W5" s="18">
        <f>'SEP 29'!W55</f>
        <v>197047505.26916796</v>
      </c>
      <c r="X5" s="18">
        <f>'SEP 29'!X55</f>
        <v>2405509.0999999996</v>
      </c>
      <c r="Y5" s="18">
        <f>'SEP 29'!Y55</f>
        <v>9664866.7635749988</v>
      </c>
      <c r="Z5" s="18">
        <f>'SEP 29'!Z55</f>
        <v>9662.5274983807467</v>
      </c>
      <c r="AA5" s="18">
        <f>'SEP 29'!AA55</f>
        <v>38827.997124768175</v>
      </c>
      <c r="AB5" s="18">
        <f>'SEP 29'!AB55</f>
        <v>7542.7499999967404</v>
      </c>
      <c r="AC5" s="18">
        <f>'SEP 29'!AC55</f>
        <v>30309.862027486903</v>
      </c>
      <c r="AD5" s="18">
        <f>'SEP 29'!AD55</f>
        <v>5155</v>
      </c>
      <c r="AE5" s="18">
        <f>'SEP 29'!AE55</f>
        <v>20714.903549999999</v>
      </c>
      <c r="AF5" s="18">
        <f>'SEP 29'!AF55</f>
        <v>7956.8699999451637</v>
      </c>
      <c r="AG5" s="18">
        <f>'SEP 29'!AG55</f>
        <v>31973.965976479645</v>
      </c>
      <c r="AH5" s="18">
        <f>'SEP 29'!AH55</f>
        <v>21297.839999997261</v>
      </c>
      <c r="AI5" s="18">
        <f>'SEP 29'!AI55</f>
        <v>122794.66363258875</v>
      </c>
      <c r="AJ5" s="18">
        <f>'SEP 29'!AJ55</f>
        <v>675895.70999999822</v>
      </c>
      <c r="AK5" s="18">
        <f>'SEP 29'!AK55</f>
        <v>2716026.0800210927</v>
      </c>
      <c r="AL5" s="18">
        <f>'SEP 29'!AL55</f>
        <v>15955097.461765243</v>
      </c>
      <c r="AM5" s="18">
        <f>'SEP 29'!AM55</f>
        <v>97762346.877815336</v>
      </c>
      <c r="AN5" s="18">
        <f>'SEP 29'!AN55</f>
        <v>4853701.1557200011</v>
      </c>
      <c r="AO5" s="18">
        <f>'SEP 29'!AO55</f>
        <v>861525.45316744002</v>
      </c>
      <c r="AP5" s="18">
        <f>'SEP 29'!AP55</f>
        <v>7501693.0097287055</v>
      </c>
      <c r="AQ5" s="18">
        <f>'SEP 29'!AQ55</f>
        <v>1908895.0415161632</v>
      </c>
      <c r="AR5" s="18">
        <f>'SEP 29'!AR55</f>
        <v>33467.106463993005</v>
      </c>
      <c r="AS5" s="18">
        <f>'SEP 29'!AS55</f>
        <v>6.3419079996137473</v>
      </c>
      <c r="AT5" s="18">
        <f>'SEP 29'!AT55</f>
        <v>11.326432002509915</v>
      </c>
      <c r="AU5" s="18">
        <f>'SEP 29'!AU55</f>
        <v>70852.565203997277</v>
      </c>
      <c r="AV5" s="18">
        <f>'SEP 29'!AV55</f>
        <v>529097.77060280275</v>
      </c>
      <c r="AW5" s="18">
        <f>'SEP 29'!AW55</f>
        <v>52018.208225996794</v>
      </c>
      <c r="AX5" s="18">
        <f>'SEP 29'!AX55</f>
        <v>1064.5961240010877</v>
      </c>
      <c r="AY5" s="18">
        <f>'SEP 29'!AY55</f>
        <v>4468672.0798879992</v>
      </c>
      <c r="AZ5" s="18">
        <f>'SEP 29'!AZ55</f>
        <v>23756.924137323233</v>
      </c>
      <c r="BA5" s="18">
        <f>'SEP 29'!BA55</f>
        <v>206847.64172400683</v>
      </c>
      <c r="BB5" s="18">
        <f>'SEP 29'!BB55</f>
        <v>71630.152219991171</v>
      </c>
      <c r="BC5" s="18">
        <f>'SEP 29'!BC55</f>
        <v>273245.46884799853</v>
      </c>
      <c r="BD5" s="18">
        <f>'SEP 29'!BD55</f>
        <v>17458.541599989851</v>
      </c>
      <c r="BE5" s="18">
        <f>'SEP 29'!BE55</f>
        <v>136146.99715368054</v>
      </c>
      <c r="BF5" s="18">
        <f>'SEP 29'!BF55</f>
        <v>294827.49323035986</v>
      </c>
      <c r="BG5" s="18">
        <f>'SEP 29'!BG55</f>
        <v>35110.408018882757</v>
      </c>
      <c r="BH5" s="18">
        <f>'SEP 29'!BH55</f>
        <v>24605.160800002101</v>
      </c>
      <c r="BI5" s="18">
        <f>'SEP 29'!BI55</f>
        <v>207727.90101</v>
      </c>
      <c r="BJ5" s="18">
        <f>'SEP 29'!BJ55</f>
        <v>154010.6032805602</v>
      </c>
      <c r="BK5" s="18">
        <f>'SEP 29'!BK55</f>
        <v>4885909.5036820117</v>
      </c>
      <c r="BL5" s="18">
        <f>'SEP 29'!BL55</f>
        <v>115548.03336244608</v>
      </c>
      <c r="BM5" s="18">
        <f>'SEP 29'!BM55</f>
        <v>1095438.2893771636</v>
      </c>
      <c r="BN5" s="18">
        <f>'SEP 29'!BN55</f>
        <v>1248097.7873073821</v>
      </c>
      <c r="BO5" s="18">
        <f>'SEP 29'!BO55</f>
        <v>3.4691202304202307E-3</v>
      </c>
      <c r="BP5" s="18">
        <f>'SEP 29'!BP55</f>
        <v>262.05868932906549</v>
      </c>
      <c r="BQ5" s="18">
        <f>'SEP 29'!BQ55</f>
        <v>4.0128798844989433E-3</v>
      </c>
      <c r="BR5" s="18">
        <f>'SEP 29'!BR55</f>
        <v>1799807.7960000036</v>
      </c>
      <c r="BS5" s="18">
        <f>'SEP 29'!BS55</f>
        <v>7047166.0920354892</v>
      </c>
      <c r="BT5" s="18">
        <f>'SEP 29'!BT55</f>
        <v>219269.24493201787</v>
      </c>
      <c r="BU5" s="18">
        <f>'SEP 29'!BU55</f>
        <v>863458.30940948869</v>
      </c>
      <c r="BV5" s="18">
        <f>'SEP 29'!BV55</f>
        <v>8990.2238600000001</v>
      </c>
      <c r="BW5" s="18">
        <f>'SEP 29'!BW55</f>
        <v>159350.67000000001</v>
      </c>
      <c r="BX5" s="18">
        <f>'SEP 29'!BX55</f>
        <v>22663.665000000001</v>
      </c>
      <c r="BY5" s="18">
        <f>'SEP 29'!BY55</f>
        <v>570885.29494000052</v>
      </c>
      <c r="BZ5" s="18">
        <f>'SEP 29'!BZ55</f>
        <v>1555308.5971399909</v>
      </c>
      <c r="CA5" s="18">
        <f>'SEP 29'!CA55</f>
        <v>7219754.9115599934</v>
      </c>
      <c r="CB5" s="18">
        <f>'SEP 29'!CB55</f>
        <v>20118.565999999999</v>
      </c>
      <c r="CC5" s="18">
        <f>'SEP 29'!CC55</f>
        <v>1116667.219</v>
      </c>
      <c r="CD5" s="18">
        <f>'SEP 29'!CD55</f>
        <v>0</v>
      </c>
      <c r="CE5" s="18">
        <f>'SEP 29'!CE55</f>
        <v>2.9999999933352228E-3</v>
      </c>
      <c r="CF5" s="18">
        <f>'SEP 29'!CF55</f>
        <v>711376.8676</v>
      </c>
      <c r="CG5" s="18">
        <f>'SEP 29'!CG55</f>
        <v>412503.07150000002</v>
      </c>
      <c r="CH5" s="18">
        <f>'SEP 29'!CH55</f>
        <v>2.9318200000000001</v>
      </c>
      <c r="CI5" s="18">
        <f>'SEP 29'!CI55</f>
        <v>844207.94543999922</v>
      </c>
      <c r="CJ5" s="18">
        <f>'SEP 29'!CJ55</f>
        <v>137566.07103999978</v>
      </c>
      <c r="CK5" s="18">
        <f>'SEP 29'!CK55</f>
        <v>0</v>
      </c>
      <c r="CL5" s="18">
        <f>'SEP 29'!CL55</f>
        <v>0</v>
      </c>
      <c r="CM5" s="18">
        <f>'SEP 29'!CM55</f>
        <v>79545.207070000004</v>
      </c>
      <c r="CN5" s="18">
        <f>'SEP 29'!CN55</f>
        <v>647657.33605000004</v>
      </c>
      <c r="CO5" s="18">
        <f>'SEP 29'!CO55</f>
        <v>736464.8368199995</v>
      </c>
      <c r="CP5" s="18">
        <f>'SEP 29'!CP55</f>
        <v>9152723.6727600005</v>
      </c>
      <c r="CQ5" s="18">
        <f>'SEP 29'!CQ55</f>
        <v>377715.39094000001</v>
      </c>
      <c r="CR5" s="18">
        <f>'SEP 29'!CR55</f>
        <v>14148.404510000371</v>
      </c>
      <c r="CS5" s="18">
        <f>'SEP 29'!CS55</f>
        <v>5013.4199999999992</v>
      </c>
      <c r="CT5" s="18">
        <f>'SEP 29'!CT55</f>
        <v>20149.387893799994</v>
      </c>
      <c r="CU5" s="18">
        <f>'SEP 29'!CU55</f>
        <v>5013.4199999999992</v>
      </c>
      <c r="CV5" s="18">
        <f>'SEP 29'!CV55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471325098.61146599</v>
      </c>
    </row>
    <row r="6" spans="1:101" s="20" customFormat="1" x14ac:dyDescent="0.3">
      <c r="A6" s="173"/>
      <c r="B6" s="19"/>
      <c r="C6" s="19" t="s">
        <v>91</v>
      </c>
      <c r="D6" s="19">
        <v>-123122.86435</v>
      </c>
      <c r="E6" s="19">
        <v>-12604177.672549997</v>
      </c>
      <c r="F6" s="19">
        <f>9757423.39818-0.01</f>
        <v>9757423.3881800007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-463977.20788999985</v>
      </c>
      <c r="AM6" s="19">
        <f>364734.989408003+0.01</f>
        <v>364734.999408003</v>
      </c>
      <c r="AN6" s="19">
        <v>-199703.50125999993</v>
      </c>
      <c r="AO6" s="19">
        <f>-316231.188656+0.01</f>
        <v>-316231.178656</v>
      </c>
      <c r="AP6" s="19">
        <v>3025939.2493614396</v>
      </c>
      <c r="AQ6" s="19">
        <v>-188194.84645400013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-1190941.8</v>
      </c>
      <c r="BS6" s="19">
        <v>-4671803.2549219998</v>
      </c>
      <c r="BT6" s="19">
        <v>29780.14</v>
      </c>
      <c r="BU6" s="19">
        <v>108155.5423806</v>
      </c>
      <c r="BV6" s="19">
        <v>0</v>
      </c>
      <c r="BW6" s="19">
        <v>-1.75700000001234</v>
      </c>
      <c r="BX6" s="19">
        <v>0</v>
      </c>
      <c r="BY6" s="19">
        <f>-20597.563+0.01</f>
        <v>-20597.553</v>
      </c>
      <c r="BZ6" s="19">
        <f>-5523313.897+0.01</f>
        <v>-5523313.8870000001</v>
      </c>
      <c r="CA6" s="19">
        <f>-456182.02077+0.01</f>
        <v>-456182.01076999999</v>
      </c>
      <c r="CB6" s="19">
        <v>0</v>
      </c>
      <c r="CC6" s="19">
        <v>0</v>
      </c>
      <c r="CD6" s="19">
        <v>0</v>
      </c>
      <c r="CE6" s="19">
        <v>0</v>
      </c>
      <c r="CF6" s="19">
        <v>227.71299999998882</v>
      </c>
      <c r="CG6" s="19">
        <v>0</v>
      </c>
      <c r="CH6" s="19">
        <v>0</v>
      </c>
      <c r="CI6" s="19">
        <f>3357.84456-0.01</f>
        <v>3357.8345599999998</v>
      </c>
      <c r="CJ6" s="19">
        <v>180057.62679000001</v>
      </c>
      <c r="CK6" s="19">
        <v>0</v>
      </c>
      <c r="CL6" s="19">
        <v>0</v>
      </c>
      <c r="CM6" s="19">
        <v>0</v>
      </c>
      <c r="CN6" s="19">
        <v>0</v>
      </c>
      <c r="CO6" s="19">
        <v>5.9949399999999997</v>
      </c>
      <c r="CP6" s="19">
        <v>0</v>
      </c>
      <c r="CQ6" s="19">
        <v>0</v>
      </c>
      <c r="CR6" s="19">
        <f>2479.97185-0.01</f>
        <v>2479.9618499999997</v>
      </c>
      <c r="CS6" s="19">
        <v>0.94</v>
      </c>
      <c r="CT6" s="19">
        <f>-586.9127874-0.01</f>
        <v>-586.92278739999995</v>
      </c>
      <c r="CU6" s="19">
        <v>0.94</v>
      </c>
      <c r="CV6" s="19">
        <f>-586.9127874-0.01</f>
        <v>-586.92278739999995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331752.12027994508</v>
      </c>
      <c r="E8" s="18">
        <f t="shared" si="0"/>
        <v>11425652.635362048</v>
      </c>
      <c r="F8" s="18">
        <f t="shared" si="0"/>
        <v>36075153.7285944</v>
      </c>
      <c r="G8" s="18">
        <f t="shared" si="0"/>
        <v>0</v>
      </c>
      <c r="H8" s="18">
        <f t="shared" si="0"/>
        <v>0</v>
      </c>
      <c r="I8" s="18">
        <f t="shared" si="0"/>
        <v>75304.136224578353</v>
      </c>
      <c r="J8" s="18">
        <f t="shared" si="0"/>
        <v>0</v>
      </c>
      <c r="K8" s="18">
        <f t="shared" si="0"/>
        <v>163081.68768414296</v>
      </c>
      <c r="L8" s="18">
        <f t="shared" si="0"/>
        <v>5852221.1888261493</v>
      </c>
      <c r="M8" s="18">
        <f t="shared" si="0"/>
        <v>440502.11326947936</v>
      </c>
      <c r="N8" s="18">
        <f t="shared" si="0"/>
        <v>120777.5199999999</v>
      </c>
      <c r="O8" s="18">
        <f t="shared" si="0"/>
        <v>485338.55719319958</v>
      </c>
      <c r="P8" s="18">
        <f t="shared" si="0"/>
        <v>4162121.4634668664</v>
      </c>
      <c r="Q8" s="18">
        <f t="shared" si="0"/>
        <v>16220493.073361892</v>
      </c>
      <c r="R8" s="18">
        <f t="shared" si="0"/>
        <v>3117804.1845100005</v>
      </c>
      <c r="S8" s="18">
        <f t="shared" si="0"/>
        <v>12857702.908537926</v>
      </c>
      <c r="T8" s="18">
        <f t="shared" si="0"/>
        <v>56575.250000000007</v>
      </c>
      <c r="U8" s="18">
        <f t="shared" si="0"/>
        <v>227353.77856949999</v>
      </c>
      <c r="V8" s="18">
        <f t="shared" si="0"/>
        <v>49526370.969999991</v>
      </c>
      <c r="W8" s="18">
        <f t="shared" si="0"/>
        <v>197047505.26916796</v>
      </c>
      <c r="X8" s="18">
        <f t="shared" si="0"/>
        <v>2405509.0999999996</v>
      </c>
      <c r="Y8" s="18">
        <f t="shared" si="0"/>
        <v>9664866.7635749988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21297.839999997261</v>
      </c>
      <c r="AI8" s="18">
        <f t="shared" si="0"/>
        <v>122794.66363258875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15491120.253875243</v>
      </c>
      <c r="AM8" s="18">
        <f t="shared" si="0"/>
        <v>98127081.877223343</v>
      </c>
      <c r="AN8" s="18">
        <f t="shared" si="0"/>
        <v>4653997.6544600008</v>
      </c>
      <c r="AO8" s="18">
        <f t="shared" si="0"/>
        <v>545294.27451143996</v>
      </c>
      <c r="AP8" s="18">
        <f t="shared" si="0"/>
        <v>10527632.259090144</v>
      </c>
      <c r="AQ8" s="18">
        <f t="shared" si="0"/>
        <v>1720700.1950621631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52018.208225996794</v>
      </c>
      <c r="AX8" s="18">
        <f t="shared" si="0"/>
        <v>1064.5961240010877</v>
      </c>
      <c r="AY8" s="18">
        <f t="shared" si="0"/>
        <v>4468672.0798879992</v>
      </c>
      <c r="AZ8" s="18">
        <f t="shared" si="0"/>
        <v>23756.924137323233</v>
      </c>
      <c r="BA8" s="18">
        <f t="shared" si="0"/>
        <v>206847.64172400683</v>
      </c>
      <c r="BB8" s="18">
        <f t="shared" si="0"/>
        <v>71630.152219991171</v>
      </c>
      <c r="BC8" s="18">
        <f t="shared" si="0"/>
        <v>273245.46884799853</v>
      </c>
      <c r="BD8" s="18">
        <f t="shared" si="0"/>
        <v>17458.541599989851</v>
      </c>
      <c r="BE8" s="18">
        <f t="shared" si="0"/>
        <v>136146.99715368054</v>
      </c>
      <c r="BF8" s="18">
        <f t="shared" si="0"/>
        <v>294827.49323035986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4885909.5036820117</v>
      </c>
      <c r="BL8" s="18">
        <f t="shared" si="0"/>
        <v>115548.03336244608</v>
      </c>
      <c r="BM8" s="18">
        <f t="shared" si="0"/>
        <v>1095438.2893771636</v>
      </c>
      <c r="BN8" s="18">
        <f t="shared" si="0"/>
        <v>1248097.7873073821</v>
      </c>
      <c r="BO8" s="18">
        <f t="shared" si="0"/>
        <v>3.4691202304202307E-3</v>
      </c>
      <c r="BP8" s="18">
        <f t="shared" si="0"/>
        <v>262.05868932906549</v>
      </c>
      <c r="BQ8" s="18">
        <f t="shared" si="0"/>
        <v>4.0128798844989433E-3</v>
      </c>
      <c r="BR8" s="18">
        <f t="shared" si="0"/>
        <v>608865.99600000354</v>
      </c>
      <c r="BS8" s="18">
        <f t="shared" si="0"/>
        <v>2375362.8371134894</v>
      </c>
      <c r="BT8" s="18">
        <f t="shared" ref="BT8:CV8" si="1">BT5+BT6+BT7</f>
        <v>249049.38493201789</v>
      </c>
      <c r="BU8" s="18">
        <f t="shared" si="1"/>
        <v>971613.85179008869</v>
      </c>
      <c r="BV8" s="18">
        <f t="shared" si="1"/>
        <v>8990.2238600000001</v>
      </c>
      <c r="BW8" s="18">
        <f t="shared" si="1"/>
        <v>159348.913</v>
      </c>
      <c r="BX8" s="18">
        <f t="shared" si="1"/>
        <v>22663.665000000001</v>
      </c>
      <c r="BY8" s="18">
        <f>+BY5+BY6+BY7:BZ7</f>
        <v>550287.74194000056</v>
      </c>
      <c r="BZ8" s="18">
        <f t="shared" si="1"/>
        <v>-3968005.2898600092</v>
      </c>
      <c r="CA8" s="18">
        <f t="shared" si="1"/>
        <v>6763572.9007899938</v>
      </c>
      <c r="CB8" s="18">
        <f t="shared" si="1"/>
        <v>20118.565999999999</v>
      </c>
      <c r="CC8" s="18">
        <f t="shared" si="1"/>
        <v>1116667.219</v>
      </c>
      <c r="CD8" s="18">
        <f t="shared" si="1"/>
        <v>0</v>
      </c>
      <c r="CE8" s="18">
        <f t="shared" si="1"/>
        <v>2.9999999933352228E-3</v>
      </c>
      <c r="CF8" s="18">
        <f t="shared" si="1"/>
        <v>711604.58059999999</v>
      </c>
      <c r="CG8" s="18">
        <f t="shared" si="1"/>
        <v>412503.07150000002</v>
      </c>
      <c r="CH8" s="18">
        <f t="shared" si="1"/>
        <v>2.9318200000000001</v>
      </c>
      <c r="CI8" s="18">
        <f t="shared" si="1"/>
        <v>847565.77999999921</v>
      </c>
      <c r="CJ8" s="18">
        <f t="shared" si="1"/>
        <v>317623.69782999979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736470.83175999951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16628.366360000371</v>
      </c>
      <c r="CS8" s="18">
        <f t="shared" si="1"/>
        <v>5014.3599999999988</v>
      </c>
      <c r="CT8" s="18">
        <f t="shared" si="1"/>
        <v>19562.465106399995</v>
      </c>
      <c r="CU8" s="18">
        <f t="shared" si="1"/>
        <v>5014.3599999999988</v>
      </c>
      <c r="CV8" s="18">
        <f t="shared" si="1"/>
        <v>19562.465106399995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460199001.34250927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26">
        <v>479.30174</v>
      </c>
      <c r="F11" s="26"/>
      <c r="G11" s="26"/>
      <c r="H11" s="26"/>
      <c r="I11" s="26"/>
      <c r="J11" s="27"/>
      <c r="K11" s="26"/>
      <c r="L11" s="27"/>
      <c r="M11" s="26"/>
      <c r="N11" s="26"/>
      <c r="O11" s="26"/>
      <c r="P11" s="28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479.30174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26"/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0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0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27"/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0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27"/>
      <c r="M17" s="27"/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0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27">
        <v>-4146068.8559900001</v>
      </c>
      <c r="M19" s="29">
        <v>-24876413.133990001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-29022481.989980001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27"/>
      <c r="M20" s="29"/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0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27">
        <v>-66376354.126999997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-66376354.126999997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27"/>
      <c r="M22" s="29"/>
      <c r="N22" s="26"/>
      <c r="O22" s="26"/>
      <c r="P22" s="26"/>
      <c r="Q22" s="26"/>
      <c r="R22" s="29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0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27">
        <v>78280955.088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78280955.088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27"/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0</v>
      </c>
    </row>
    <row r="25" spans="1:101" x14ac:dyDescent="0.3">
      <c r="A25" s="166"/>
      <c r="B25" s="24" t="s">
        <v>95</v>
      </c>
      <c r="C25" s="25" t="s">
        <v>112</v>
      </c>
      <c r="D25" s="26"/>
      <c r="E25" s="26"/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26">
        <v>539969</v>
      </c>
      <c r="Q25" s="26">
        <f>(P25*3901.29)/1000</f>
        <v>2106575.6600099998</v>
      </c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2106575.6600099998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0</v>
      </c>
    </row>
    <row r="27" spans="1:101" x14ac:dyDescent="0.3">
      <c r="A27" s="166"/>
      <c r="B27" s="24" t="s">
        <v>95</v>
      </c>
      <c r="C27" s="25" t="s">
        <v>114</v>
      </c>
      <c r="D27" s="26">
        <v>45000</v>
      </c>
      <c r="E27" s="29"/>
      <c r="F27" s="29"/>
      <c r="G27" s="26"/>
      <c r="H27" s="26"/>
      <c r="I27" s="26">
        <v>7550000</v>
      </c>
      <c r="J27" s="26"/>
      <c r="K27" s="26"/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>
        <v>800000</v>
      </c>
      <c r="BZ27" s="26">
        <v>6500000</v>
      </c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14895000</v>
      </c>
    </row>
    <row r="28" spans="1:101" x14ac:dyDescent="0.3">
      <c r="A28" s="166"/>
      <c r="B28" s="24" t="s">
        <v>97</v>
      </c>
      <c r="C28" s="25" t="s">
        <v>115</v>
      </c>
      <c r="D28" s="26"/>
      <c r="E28" s="26"/>
      <c r="F28" s="26">
        <v>-16303000</v>
      </c>
      <c r="G28" s="26"/>
      <c r="H28" s="26"/>
      <c r="I28" s="26"/>
      <c r="J28" s="26"/>
      <c r="K28" s="26"/>
      <c r="L28" s="27">
        <f>-6750000-9600000</f>
        <v>-16350000</v>
      </c>
      <c r="M28" s="26">
        <v>-900000</v>
      </c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9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-33553000</v>
      </c>
    </row>
    <row r="29" spans="1:101" x14ac:dyDescent="0.3">
      <c r="A29" s="166"/>
      <c r="B29" s="24"/>
      <c r="C29" s="25" t="s">
        <v>116</v>
      </c>
      <c r="D29" s="26"/>
      <c r="E29" s="29">
        <f>7594984.504+4495000</f>
        <v>12089984.504000001</v>
      </c>
      <c r="F29" s="29">
        <f>-25200000+25200000-25200000</f>
        <v>-25200000</v>
      </c>
      <c r="G29" s="26"/>
      <c r="H29" s="26"/>
      <c r="I29" s="29">
        <v>-7594984.5039999997</v>
      </c>
      <c r="J29" s="26"/>
      <c r="K29" s="26"/>
      <c r="L29" s="29">
        <v>-4495000</v>
      </c>
      <c r="M29" s="29">
        <v>25200000</v>
      </c>
      <c r="N29" s="26"/>
      <c r="O29" s="26"/>
      <c r="P29" s="29"/>
      <c r="Q29" s="26"/>
      <c r="R29" s="26"/>
      <c r="S29" s="26"/>
      <c r="T29" s="29"/>
      <c r="U29" s="26"/>
      <c r="V29" s="29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29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3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5">
        <v>-700026.36199999996</v>
      </c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-700026.36199999996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0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0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0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>
        <f>-1560000-1550000</f>
        <v>-3110000</v>
      </c>
      <c r="W35" s="38">
        <f>(V35*3901.29)/1000</f>
        <v>-12133011.9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-12133011.9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39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0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39">
        <f>-1073650-1076200</f>
        <v>-2149850</v>
      </c>
      <c r="M38" s="39">
        <v>-645720</v>
      </c>
      <c r="N38" s="38"/>
      <c r="O38" s="38"/>
      <c r="P38" s="38">
        <v>-577976.11</v>
      </c>
      <c r="Q38" s="38">
        <f>(P38*3901.29)/1000</f>
        <v>-2254852.4181818999</v>
      </c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-5050422.4181818999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44"/>
      <c r="E40" s="44"/>
      <c r="F40" s="44"/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0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44"/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4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44"/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45"/>
      <c r="Q43" s="44"/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45">
        <v>7818000</v>
      </c>
      <c r="F44" s="44">
        <f>11727000+5863500</f>
        <v>17590500</v>
      </c>
      <c r="G44" s="45"/>
      <c r="H44" s="45"/>
      <c r="I44" s="45"/>
      <c r="J44" s="45"/>
      <c r="K44" s="45"/>
      <c r="L44" s="44"/>
      <c r="M44" s="44"/>
      <c r="N44" s="45"/>
      <c r="O44" s="45"/>
      <c r="P44" s="45">
        <v>-2000000</v>
      </c>
      <c r="Q44" s="45">
        <v>-7818000</v>
      </c>
      <c r="R44" s="45">
        <v>-3000000</v>
      </c>
      <c r="S44" s="45">
        <v>-11727000</v>
      </c>
      <c r="T44" s="45"/>
      <c r="U44" s="45"/>
      <c r="V44" s="45"/>
      <c r="W44" s="45"/>
      <c r="X44" s="45">
        <v>-1500000</v>
      </c>
      <c r="Y44" s="45">
        <v>-5863500</v>
      </c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>
        <v>-8.8309999999999995</v>
      </c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>
        <v>-3614.2919999999999</v>
      </c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-3623.123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48">
        <f>8957534.35259+543040.49185</f>
        <v>9500574.8444400001</v>
      </c>
      <c r="M48" s="48">
        <f>288103.61457+560110.8346</f>
        <v>848214.44916999992</v>
      </c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10348789.293609999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0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49">
        <v>-0.97499999999999998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>
        <v>-97.491</v>
      </c>
      <c r="AW50" s="49">
        <v>-170.398</v>
      </c>
      <c r="AX50" s="49"/>
      <c r="AY50" s="49">
        <v>-943.63199999999995</v>
      </c>
      <c r="AZ50" s="49">
        <v>-9.1349999999999998</v>
      </c>
      <c r="BA50" s="49">
        <f>-2.554-0.01</f>
        <v>-2.5639999999999996</v>
      </c>
      <c r="BB50" s="49">
        <v>-0.88500000000000001</v>
      </c>
      <c r="BC50" s="49">
        <v>-3.3740000000000001</v>
      </c>
      <c r="BD50" s="49">
        <f>-0.216-0.01</f>
        <v>-0.22600000000000001</v>
      </c>
      <c r="BE50" s="49"/>
      <c r="BF50" s="49"/>
      <c r="BG50" s="49"/>
      <c r="BH50" s="49">
        <v>-54.187739999999998</v>
      </c>
      <c r="BI50" s="49">
        <f>-12127.46358-47.31</f>
        <v>-12174.773579999999</v>
      </c>
      <c r="BJ50" s="49">
        <v>-22.658000000000001</v>
      </c>
      <c r="BK50" s="49">
        <v>-392.39699999999999</v>
      </c>
      <c r="BL50" s="49">
        <v>-1.496</v>
      </c>
      <c r="BM50" s="49">
        <v>-14.186</v>
      </c>
      <c r="BN50" s="49">
        <v>-16.163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-13904.541319999998</v>
      </c>
    </row>
    <row r="51" spans="1:101" x14ac:dyDescent="0.3">
      <c r="A51" s="164"/>
      <c r="B51" s="46" t="s">
        <v>97</v>
      </c>
      <c r="C51" s="47" t="s">
        <v>138</v>
      </c>
      <c r="D51" s="48"/>
      <c r="E51" s="49">
        <v>-564.46199999999999</v>
      </c>
      <c r="F51" s="49"/>
      <c r="G51" s="49"/>
      <c r="H51" s="49"/>
      <c r="I51" s="49"/>
      <c r="J51" s="49"/>
      <c r="K51" s="48"/>
      <c r="L51" s="48">
        <v>-16.516999999999999</v>
      </c>
      <c r="M51" s="48">
        <v>-0.01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>
        <f>-558.16109-0.22</f>
        <v>-558.38108999999997</v>
      </c>
      <c r="BI51" s="49">
        <v>-104206.0913</v>
      </c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-105345.46139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49">
        <f>13.93126+0.01+5.21</f>
        <v>19.151260000000001</v>
      </c>
      <c r="J52" s="49"/>
      <c r="K52" s="49"/>
      <c r="L52" s="48"/>
      <c r="M52" s="48"/>
      <c r="N52" s="49"/>
      <c r="O52" s="49"/>
      <c r="P52" s="49"/>
      <c r="Q52" s="49"/>
      <c r="R52" s="49">
        <v>216.75</v>
      </c>
      <c r="S52" s="49">
        <f>(R52*3901.29)/1000</f>
        <v>845.60460750000004</v>
      </c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>
        <v>844.84</v>
      </c>
      <c r="AK52" s="49">
        <f>(AJ52*3901.29)/1000</f>
        <v>3295.9658436000004</v>
      </c>
      <c r="AL52" s="49"/>
      <c r="AM52" s="49"/>
      <c r="AN52" s="49"/>
      <c r="AO52" s="49"/>
      <c r="AP52" s="49"/>
      <c r="AQ52" s="49"/>
      <c r="AR52" s="49">
        <v>88.094999999999999</v>
      </c>
      <c r="AS52" s="49">
        <v>1.7000000000000001E-2</v>
      </c>
      <c r="AT52" s="49">
        <v>0.03</v>
      </c>
      <c r="AU52" s="49">
        <v>34.847999999999999</v>
      </c>
      <c r="AV52" s="49">
        <v>1392.73</v>
      </c>
      <c r="AW52" s="49">
        <f>414.37114+141.28</f>
        <v>555.65114000000005</v>
      </c>
      <c r="AX52" s="49">
        <v>5.8297499999999998</v>
      </c>
      <c r="AY52" s="49">
        <f>13374.05852+3.71</f>
        <v>13377.76852</v>
      </c>
      <c r="AZ52" s="49">
        <v>130.06904</v>
      </c>
      <c r="BA52" s="49">
        <v>36.488999999999997</v>
      </c>
      <c r="BB52" s="49">
        <v>12.635999999999999</v>
      </c>
      <c r="BC52" s="49">
        <v>48.201999999999998</v>
      </c>
      <c r="BD52" s="49">
        <v>3.08</v>
      </c>
      <c r="BE52" s="49"/>
      <c r="BF52" s="49"/>
      <c r="BG52" s="49">
        <v>0.28754999999999997</v>
      </c>
      <c r="BH52" s="49">
        <v>52.140470000000001</v>
      </c>
      <c r="BI52" s="49">
        <v>298.09345999999999</v>
      </c>
      <c r="BJ52" s="49">
        <v>323.65411</v>
      </c>
      <c r="BK52" s="49">
        <v>5605.6682300000002</v>
      </c>
      <c r="BL52" s="49">
        <f>21.37638+19.884</f>
        <v>41.260379999999998</v>
      </c>
      <c r="BM52" s="49">
        <f>202.65608+188.5</f>
        <v>391.15607999999997</v>
      </c>
      <c r="BN52" s="49">
        <f>230.89809+214.77+0.01</f>
        <v>445.67809</v>
      </c>
      <c r="BO52" s="49"/>
      <c r="BP52" s="49">
        <f>48.48/1000+0.05</f>
        <v>9.8479999999999998E-2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27004.204011100002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(D10+D13+D16+D17+D33+D38+D47+D40+D51+D35)*4/1000</f>
        <v>0</v>
      </c>
      <c r="E53" s="49">
        <f>(E10+E13+E16+E17+E33+E38+E47+E51+E35+E40)*4/1000</f>
        <v>-2.2578480000000001</v>
      </c>
      <c r="F53" s="49">
        <f>(F10+F13+F16+F17+F33+F38+F47+F35+F40)*4/1000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0</v>
      </c>
      <c r="L53" s="48">
        <f>(L10+L13+L17+L33+L38+L40+L51+L36+L49+L16)*4/1000</f>
        <v>-8599.4660679999997</v>
      </c>
      <c r="M53" s="48">
        <f>(M10+M13+M17+M33+M38+M40+M51+M36+M49+M16)*4/1000</f>
        <v>-2582.88004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 t="shared" si="4"/>
        <v>0</v>
      </c>
      <c r="AI53" s="49">
        <f t="shared" si="4"/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0</v>
      </c>
      <c r="AM53" s="49">
        <f>(AM10+AM17+AM38+AM40+AM47+AM51+AM50+AM16+AM13+AM30+AM33)*4/1000</f>
        <v>-2800.1054479999998</v>
      </c>
      <c r="AN53" s="49">
        <f>(AN10++AN16+AN17+AN38+AN40+AN47+AN51+AN49+AN50+AN33)*4/1000</f>
        <v>0</v>
      </c>
      <c r="AO53" s="49">
        <f>(AO10++AO16+AO17+AO38+AO40+AO47+AO51+AO49+AO50+AO33)*4/1000</f>
        <v>0</v>
      </c>
      <c r="AP53" s="49">
        <f>(AP10++AP16+AP17+AP38+AP40+AP47+AP51+AP49+AP50+AP33)*4/1000</f>
        <v>0</v>
      </c>
      <c r="AQ53" s="49">
        <f>(AQ10++AQ16+AQ17+AQ38+AQ40+AQ47+AQ51+AQ49+AQ50+AQ33)*4/1000</f>
        <v>0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>(AV10+AV13+AV16+AV17+AV33+AV38+AV40+AV47+AV51+AV50)*4/1000</f>
        <v>-0.38996399999999998</v>
      </c>
      <c r="AW53" s="49">
        <f>(AW10+AW13+AW16+AW17+AW33+AW38+AW40+AW47+AW51)*4/1000</f>
        <v>-3.5324000000000001E-2</v>
      </c>
      <c r="AX53" s="49">
        <f t="shared" si="5"/>
        <v>0</v>
      </c>
      <c r="AY53" s="49">
        <f t="shared" si="5"/>
        <v>0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0</v>
      </c>
      <c r="BF53" s="49">
        <f t="shared" si="5"/>
        <v>0</v>
      </c>
      <c r="BG53" s="49">
        <f t="shared" si="5"/>
        <v>0</v>
      </c>
      <c r="BH53" s="49">
        <f>(BH10+BH13+BH16+BH17+BH33+BH38+BH40+BH47+BH51)*4/1000</f>
        <v>-2.2335243600000001</v>
      </c>
      <c r="BI53" s="49">
        <f t="shared" si="5"/>
        <v>-416.82436519999999</v>
      </c>
      <c r="BJ53" s="49">
        <f t="shared" si="5"/>
        <v>-14.457167999999999</v>
      </c>
      <c r="BK53" s="49">
        <f t="shared" si="5"/>
        <v>0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0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-14418.64974956</v>
      </c>
    </row>
    <row r="54" spans="1:101" x14ac:dyDescent="0.3">
      <c r="C54" s="50" t="s">
        <v>141</v>
      </c>
      <c r="D54" s="51">
        <f t="shared" ref="D54:AM54" si="6">SUM(D9:D53)</f>
        <v>45000</v>
      </c>
      <c r="E54" s="51">
        <f t="shared" si="6"/>
        <v>19907897.085891999</v>
      </c>
      <c r="F54" s="51">
        <f>SUM(F9:F53)</f>
        <v>-23912500</v>
      </c>
      <c r="G54" s="51">
        <f t="shared" si="6"/>
        <v>0</v>
      </c>
      <c r="H54" s="51">
        <f t="shared" si="6"/>
        <v>0</v>
      </c>
      <c r="I54" s="51">
        <f t="shared" si="6"/>
        <v>-44966.327739999724</v>
      </c>
      <c r="J54" s="51">
        <f t="shared" si="6"/>
        <v>0</v>
      </c>
      <c r="K54" s="51">
        <f t="shared" si="6"/>
        <v>0</v>
      </c>
      <c r="L54" s="52">
        <f>SUM(L9:L53)</f>
        <v>-5744359.0336179966</v>
      </c>
      <c r="M54" s="51">
        <f t="shared" si="6"/>
        <v>-376501.57486000104</v>
      </c>
      <c r="N54" s="51">
        <f t="shared" si="6"/>
        <v>0</v>
      </c>
      <c r="O54" s="51">
        <f t="shared" si="6"/>
        <v>0</v>
      </c>
      <c r="P54" s="51">
        <f t="shared" si="6"/>
        <v>-2038007.1099999999</v>
      </c>
      <c r="Q54" s="51">
        <f t="shared" si="6"/>
        <v>-7966276.7581719002</v>
      </c>
      <c r="R54" s="51">
        <f t="shared" si="6"/>
        <v>-2999783.25</v>
      </c>
      <c r="S54" s="51">
        <f t="shared" si="6"/>
        <v>-11726154.3953925</v>
      </c>
      <c r="T54" s="51">
        <f t="shared" si="6"/>
        <v>0</v>
      </c>
      <c r="U54" s="51">
        <f t="shared" si="6"/>
        <v>0</v>
      </c>
      <c r="V54" s="51">
        <f t="shared" si="6"/>
        <v>-3110000</v>
      </c>
      <c r="W54" s="51">
        <f t="shared" si="6"/>
        <v>-12133011.9</v>
      </c>
      <c r="X54" s="51">
        <f t="shared" si="6"/>
        <v>-1500000</v>
      </c>
      <c r="Y54" s="51">
        <f t="shared" si="6"/>
        <v>-5863500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0</v>
      </c>
      <c r="AI54" s="51">
        <f t="shared" si="6"/>
        <v>0</v>
      </c>
      <c r="AJ54" s="51">
        <f t="shared" si="6"/>
        <v>844.84</v>
      </c>
      <c r="AK54" s="51">
        <f t="shared" si="6"/>
        <v>3295.9658436000004</v>
      </c>
      <c r="AL54" s="51">
        <f t="shared" si="6"/>
        <v>0</v>
      </c>
      <c r="AM54" s="51">
        <f t="shared" si="6"/>
        <v>-702826.46744799998</v>
      </c>
      <c r="AN54" s="51">
        <f t="shared" ref="AN54:CV54" si="7">SUM(AN9:AN53)</f>
        <v>0</v>
      </c>
      <c r="AO54" s="51">
        <f t="shared" si="7"/>
        <v>0</v>
      </c>
      <c r="AP54" s="51">
        <f t="shared" si="7"/>
        <v>0</v>
      </c>
      <c r="AQ54" s="51">
        <f t="shared" si="7"/>
        <v>0</v>
      </c>
      <c r="AR54" s="51">
        <f t="shared" si="7"/>
        <v>88.094999999999999</v>
      </c>
      <c r="AS54" s="51">
        <f t="shared" si="7"/>
        <v>1.7000000000000001E-2</v>
      </c>
      <c r="AT54" s="51">
        <f t="shared" si="7"/>
        <v>0.03</v>
      </c>
      <c r="AU54" s="51">
        <f t="shared" si="7"/>
        <v>34.847999999999999</v>
      </c>
      <c r="AV54" s="51">
        <f t="shared" si="7"/>
        <v>1294.8490360000001</v>
      </c>
      <c r="AW54" s="51">
        <f t="shared" si="7"/>
        <v>376.38681600000007</v>
      </c>
      <c r="AX54" s="51">
        <f t="shared" si="7"/>
        <v>5.8297499999999998</v>
      </c>
      <c r="AY54" s="51">
        <f>SUM(AY9:AY53)</f>
        <v>12434.13652</v>
      </c>
      <c r="AZ54" s="51">
        <f t="shared" si="7"/>
        <v>120.93404</v>
      </c>
      <c r="BA54" s="51">
        <f t="shared" si="7"/>
        <v>33.924999999999997</v>
      </c>
      <c r="BB54" s="51">
        <f t="shared" si="7"/>
        <v>11.750999999999999</v>
      </c>
      <c r="BC54" s="51">
        <f t="shared" si="7"/>
        <v>44.827999999999996</v>
      </c>
      <c r="BD54" s="51">
        <f t="shared" si="7"/>
        <v>2.8540000000000001</v>
      </c>
      <c r="BE54" s="51">
        <f t="shared" si="7"/>
        <v>0</v>
      </c>
      <c r="BF54" s="51">
        <f t="shared" si="7"/>
        <v>0</v>
      </c>
      <c r="BG54" s="51">
        <f t="shared" si="7"/>
        <v>0.28754999999999997</v>
      </c>
      <c r="BH54" s="51">
        <f t="shared" si="7"/>
        <v>-562.66188435999993</v>
      </c>
      <c r="BI54" s="51">
        <f t="shared" si="7"/>
        <v>-116499.59578519998</v>
      </c>
      <c r="BJ54" s="51">
        <f t="shared" si="7"/>
        <v>-3327.7530579999998</v>
      </c>
      <c r="BK54" s="51">
        <f t="shared" si="7"/>
        <v>5213.2712300000003</v>
      </c>
      <c r="BL54" s="51">
        <f t="shared" si="7"/>
        <v>39.764379999999996</v>
      </c>
      <c r="BM54" s="51">
        <f t="shared" si="7"/>
        <v>376.97008</v>
      </c>
      <c r="BN54" s="51">
        <f t="shared" si="7"/>
        <v>429.51508999999999</v>
      </c>
      <c r="BO54" s="51">
        <f t="shared" si="7"/>
        <v>0</v>
      </c>
      <c r="BP54" s="51">
        <f t="shared" si="7"/>
        <v>9.8479999999999998E-2</v>
      </c>
      <c r="BQ54" s="51">
        <f t="shared" si="7"/>
        <v>0</v>
      </c>
      <c r="BR54" s="51">
        <f t="shared" si="7"/>
        <v>0</v>
      </c>
      <c r="BS54" s="51">
        <f t="shared" si="7"/>
        <v>0</v>
      </c>
      <c r="BT54" s="51">
        <f t="shared" si="7"/>
        <v>0</v>
      </c>
      <c r="BU54" s="51">
        <f t="shared" si="7"/>
        <v>0</v>
      </c>
      <c r="BV54" s="51">
        <f t="shared" si="7"/>
        <v>0</v>
      </c>
      <c r="BW54" s="51">
        <f t="shared" si="7"/>
        <v>0</v>
      </c>
      <c r="BX54" s="51">
        <f t="shared" si="7"/>
        <v>0</v>
      </c>
      <c r="BY54" s="51">
        <f>SUM(BY9:BY53)</f>
        <v>800000</v>
      </c>
      <c r="BZ54" s="51">
        <f>SUM(BZ9:BZ53)</f>
        <v>6500000</v>
      </c>
      <c r="CA54" s="51">
        <f t="shared" si="7"/>
        <v>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0</v>
      </c>
      <c r="CF54" s="51">
        <f t="shared" si="7"/>
        <v>0</v>
      </c>
      <c r="CG54" s="51">
        <f t="shared" si="7"/>
        <v>0</v>
      </c>
      <c r="CH54" s="51">
        <f t="shared" si="7"/>
        <v>0</v>
      </c>
      <c r="CI54" s="51">
        <f t="shared" si="7"/>
        <v>0</v>
      </c>
      <c r="CJ54" s="51">
        <f t="shared" si="7"/>
        <v>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-41313785.025250353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376752.12027994508</v>
      </c>
      <c r="E55" s="56">
        <f t="shared" si="8"/>
        <v>31333549.721254047</v>
      </c>
      <c r="F55" s="56">
        <f>+F8+F54</f>
        <v>12162653.7285944</v>
      </c>
      <c r="G55" s="56">
        <f t="shared" si="8"/>
        <v>0</v>
      </c>
      <c r="H55" s="56">
        <f t="shared" si="8"/>
        <v>0</v>
      </c>
      <c r="I55" s="56">
        <f t="shared" si="8"/>
        <v>30337.808484578629</v>
      </c>
      <c r="J55" s="56">
        <f t="shared" si="8"/>
        <v>0</v>
      </c>
      <c r="K55" s="56">
        <f t="shared" si="8"/>
        <v>163081.68768414296</v>
      </c>
      <c r="L55" s="56">
        <f t="shared" si="8"/>
        <v>107862.15520815272</v>
      </c>
      <c r="M55" s="56">
        <f t="shared" si="8"/>
        <v>64000.538409478322</v>
      </c>
      <c r="N55" s="56">
        <f t="shared" si="8"/>
        <v>120777.5199999999</v>
      </c>
      <c r="O55" s="56">
        <f t="shared" si="8"/>
        <v>485338.55719319958</v>
      </c>
      <c r="P55" s="56">
        <f t="shared" si="8"/>
        <v>2124114.3534668665</v>
      </c>
      <c r="Q55" s="56">
        <f t="shared" si="8"/>
        <v>8254216.3151899921</v>
      </c>
      <c r="R55" s="56">
        <f t="shared" si="8"/>
        <v>118020.93451000052</v>
      </c>
      <c r="S55" s="56">
        <f t="shared" si="8"/>
        <v>1131548.5131454263</v>
      </c>
      <c r="T55" s="56">
        <f t="shared" si="8"/>
        <v>56575.250000000007</v>
      </c>
      <c r="U55" s="56">
        <f t="shared" si="8"/>
        <v>227353.77856949999</v>
      </c>
      <c r="V55" s="56">
        <f t="shared" si="8"/>
        <v>46416370.969999991</v>
      </c>
      <c r="W55" s="56">
        <f t="shared" si="8"/>
        <v>184914493.36916795</v>
      </c>
      <c r="X55" s="56">
        <f t="shared" si="8"/>
        <v>905509.09999999963</v>
      </c>
      <c r="Y55" s="56">
        <f t="shared" si="8"/>
        <v>3801366.7635749988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21297.839999997261</v>
      </c>
      <c r="AI55" s="56">
        <f t="shared" si="8"/>
        <v>122794.66363258875</v>
      </c>
      <c r="AJ55" s="56">
        <f t="shared" si="8"/>
        <v>676740.54999999818</v>
      </c>
      <c r="AK55" s="56">
        <f t="shared" si="8"/>
        <v>2719322.0458646929</v>
      </c>
      <c r="AL55" s="56">
        <f t="shared" si="8"/>
        <v>15491120.253875243</v>
      </c>
      <c r="AM55" s="56">
        <f t="shared" si="8"/>
        <v>97424255.409775347</v>
      </c>
      <c r="AN55" s="56">
        <f t="shared" si="8"/>
        <v>4653997.6544600008</v>
      </c>
      <c r="AO55" s="56">
        <f t="shared" si="8"/>
        <v>545294.27451143996</v>
      </c>
      <c r="AP55" s="56">
        <f t="shared" si="8"/>
        <v>10527632.259090144</v>
      </c>
      <c r="AQ55" s="56">
        <f t="shared" si="8"/>
        <v>1720700.1950621631</v>
      </c>
      <c r="AR55" s="56">
        <f t="shared" si="8"/>
        <v>33555.201463993006</v>
      </c>
      <c r="AS55" s="56">
        <f t="shared" si="8"/>
        <v>6.3589079996137476</v>
      </c>
      <c r="AT55" s="56">
        <f t="shared" si="8"/>
        <v>11.356432002509914</v>
      </c>
      <c r="AU55" s="56">
        <f t="shared" si="8"/>
        <v>70887.413203997276</v>
      </c>
      <c r="AV55" s="56">
        <f t="shared" si="8"/>
        <v>530392.61963880272</v>
      </c>
      <c r="AW55" s="56">
        <f t="shared" si="8"/>
        <v>52394.595041996792</v>
      </c>
      <c r="AX55" s="56">
        <f t="shared" si="8"/>
        <v>1070.4258740010878</v>
      </c>
      <c r="AY55" s="56">
        <f t="shared" si="8"/>
        <v>4481106.2164079994</v>
      </c>
      <c r="AZ55" s="56">
        <f t="shared" si="8"/>
        <v>23877.858177323233</v>
      </c>
      <c r="BA55" s="56">
        <f t="shared" si="8"/>
        <v>206881.56672400681</v>
      </c>
      <c r="BB55" s="56">
        <f t="shared" si="8"/>
        <v>71641.903219991174</v>
      </c>
      <c r="BC55" s="56">
        <f t="shared" si="8"/>
        <v>273290.29684799851</v>
      </c>
      <c r="BD55" s="56">
        <f t="shared" si="8"/>
        <v>17461.39559998985</v>
      </c>
      <c r="BE55" s="56">
        <f t="shared" si="8"/>
        <v>136146.99715368054</v>
      </c>
      <c r="BF55" s="56">
        <f t="shared" si="8"/>
        <v>294827.49323035986</v>
      </c>
      <c r="BG55" s="56">
        <f t="shared" si="8"/>
        <v>35110.695568882758</v>
      </c>
      <c r="BH55" s="56">
        <f t="shared" si="8"/>
        <v>24042.4989156421</v>
      </c>
      <c r="BI55" s="56">
        <f t="shared" si="8"/>
        <v>91228.305224800017</v>
      </c>
      <c r="BJ55" s="56">
        <f t="shared" si="8"/>
        <v>150682.8502225602</v>
      </c>
      <c r="BK55" s="56">
        <f t="shared" si="8"/>
        <v>4891122.7749120118</v>
      </c>
      <c r="BL55" s="56">
        <f t="shared" si="8"/>
        <v>115587.79774244607</v>
      </c>
      <c r="BM55" s="56">
        <f t="shared" si="8"/>
        <v>1095815.2594571637</v>
      </c>
      <c r="BN55" s="56">
        <f t="shared" si="8"/>
        <v>1248527.302397382</v>
      </c>
      <c r="BO55" s="56">
        <f t="shared" si="8"/>
        <v>3.4691202304202307E-3</v>
      </c>
      <c r="BP55" s="56">
        <f t="shared" si="8"/>
        <v>262.15716932906548</v>
      </c>
      <c r="BQ55" s="56">
        <f t="shared" si="8"/>
        <v>4.0128798844989433E-3</v>
      </c>
      <c r="BR55" s="56">
        <f t="shared" si="8"/>
        <v>608865.99600000354</v>
      </c>
      <c r="BS55" s="56">
        <f t="shared" si="8"/>
        <v>2375362.8371134894</v>
      </c>
      <c r="BT55" s="56">
        <f t="shared" ref="BT55:CV55" si="9">+BT8+BT54</f>
        <v>249049.38493201789</v>
      </c>
      <c r="BU55" s="56">
        <f t="shared" si="9"/>
        <v>971613.85179008869</v>
      </c>
      <c r="BV55" s="56">
        <f t="shared" si="9"/>
        <v>8990.2238600000001</v>
      </c>
      <c r="BW55" s="56">
        <f t="shared" si="9"/>
        <v>159348.913</v>
      </c>
      <c r="BX55" s="56">
        <f t="shared" si="9"/>
        <v>22663.665000000001</v>
      </c>
      <c r="BY55" s="56">
        <f t="shared" si="9"/>
        <v>1350287.7419400006</v>
      </c>
      <c r="BZ55" s="56">
        <f t="shared" si="9"/>
        <v>2531994.7101399908</v>
      </c>
      <c r="CA55" s="56">
        <f t="shared" si="9"/>
        <v>6763572.9007899938</v>
      </c>
      <c r="CB55" s="56">
        <f t="shared" si="9"/>
        <v>20118.565999999999</v>
      </c>
      <c r="CC55" s="56">
        <f t="shared" si="9"/>
        <v>1116667.219</v>
      </c>
      <c r="CD55" s="56">
        <f t="shared" si="9"/>
        <v>0</v>
      </c>
      <c r="CE55" s="56">
        <f t="shared" si="9"/>
        <v>2.9999999933352228E-3</v>
      </c>
      <c r="CF55" s="56">
        <f t="shared" si="9"/>
        <v>711604.58059999999</v>
      </c>
      <c r="CG55" s="56">
        <f t="shared" si="9"/>
        <v>412503.07150000002</v>
      </c>
      <c r="CH55" s="56">
        <f t="shared" si="9"/>
        <v>2.9318200000000001</v>
      </c>
      <c r="CI55" s="56">
        <f t="shared" si="9"/>
        <v>847565.77999999921</v>
      </c>
      <c r="CJ55" s="56">
        <f t="shared" si="9"/>
        <v>317623.69782999979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736470.83175999951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16628.366360000371</v>
      </c>
      <c r="CS55" s="56">
        <f t="shared" si="9"/>
        <v>5014.3599999999988</v>
      </c>
      <c r="CT55" s="56">
        <f t="shared" si="9"/>
        <v>19562.465106399995</v>
      </c>
      <c r="CU55" s="56">
        <f t="shared" si="9"/>
        <v>5014.3599999999988</v>
      </c>
      <c r="CV55" s="56">
        <f t="shared" si="9"/>
        <v>19562.465106399995</v>
      </c>
      <c r="CW55" s="56">
        <f t="shared" si="2"/>
        <v>418885216.31725889</v>
      </c>
    </row>
    <row r="56" spans="1:101" x14ac:dyDescent="0.3">
      <c r="D56" s="63"/>
      <c r="E56" s="63"/>
      <c r="F56" s="63"/>
      <c r="G56" s="63"/>
      <c r="H56" s="63"/>
      <c r="I56" s="63"/>
      <c r="J56" s="63"/>
      <c r="K56" s="175"/>
      <c r="L56" s="175"/>
      <c r="M56" s="175"/>
      <c r="N56" s="63"/>
      <c r="O56" s="176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</row>
    <row r="57" spans="1:101" x14ac:dyDescent="0.3"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L58" s="62"/>
      <c r="N58" s="67"/>
      <c r="O58" s="67"/>
      <c r="P58" s="152"/>
      <c r="Q58" s="71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L59" s="62"/>
      <c r="M59" s="57"/>
      <c r="N59" s="71"/>
      <c r="O59" s="67"/>
      <c r="P59" s="152"/>
      <c r="Q59" s="71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95283010.04975</v>
      </c>
      <c r="E60" s="71"/>
      <c r="F60" s="84" t="s">
        <v>49</v>
      </c>
      <c r="G60" s="84" t="s">
        <v>149</v>
      </c>
      <c r="H60" s="85"/>
      <c r="I60" s="86"/>
      <c r="J60" s="57"/>
      <c r="L60" s="62"/>
      <c r="N60" s="71"/>
      <c r="O60" s="67"/>
      <c r="P60" s="152"/>
      <c r="Q60" s="71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78280955.088</v>
      </c>
      <c r="E61" s="67" t="s">
        <v>205</v>
      </c>
      <c r="F61" s="89" t="s">
        <v>151</v>
      </c>
      <c r="G61" s="90">
        <f>N55</f>
        <v>120777.5199999999</v>
      </c>
      <c r="H61" s="85"/>
      <c r="I61" s="86"/>
      <c r="J61" s="57"/>
      <c r="L61" s="62"/>
      <c r="N61" s="67"/>
      <c r="O61" s="67"/>
      <c r="P61" s="152"/>
      <c r="Q61" s="71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479.30174</v>
      </c>
      <c r="E62" s="67" t="s">
        <v>205</v>
      </c>
      <c r="F62" s="89" t="s">
        <v>153</v>
      </c>
      <c r="G62" s="91">
        <f>P55</f>
        <v>2124114.3534668665</v>
      </c>
      <c r="H62" s="92"/>
      <c r="I62" s="86"/>
      <c r="J62" s="66"/>
      <c r="N62" s="67"/>
      <c r="O62" s="67"/>
      <c r="P62" s="152"/>
      <c r="Q62" s="71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17001575.660009999</v>
      </c>
      <c r="E63" s="67" t="s">
        <v>205</v>
      </c>
      <c r="F63" s="89" t="s">
        <v>155</v>
      </c>
      <c r="G63" s="91">
        <f>R55</f>
        <v>118020.93451000052</v>
      </c>
      <c r="H63" s="93"/>
      <c r="I63" s="94"/>
      <c r="J63" s="57"/>
      <c r="N63" s="153"/>
      <c r="O63" s="153"/>
      <c r="P63" s="151"/>
      <c r="Q63" s="71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0</v>
      </c>
      <c r="E64" s="67"/>
      <c r="H64" s="57"/>
      <c r="I64" s="77"/>
      <c r="J64" s="66"/>
      <c r="N64" s="153"/>
      <c r="O64" s="153"/>
      <c r="P64" s="152"/>
      <c r="Q64" s="71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0</v>
      </c>
      <c r="E65" s="67"/>
      <c r="H65" s="57"/>
      <c r="I65" s="98"/>
      <c r="J65" s="66"/>
      <c r="N65" s="153"/>
      <c r="O65" s="153"/>
      <c r="P65" s="152"/>
      <c r="Q65" s="71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0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152"/>
      <c r="Q66" s="71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0</v>
      </c>
      <c r="E67" s="101"/>
      <c r="F67" s="104" t="s">
        <v>6</v>
      </c>
      <c r="G67" s="105">
        <f>T55</f>
        <v>56575.250000000007</v>
      </c>
      <c r="H67" s="57"/>
      <c r="I67" s="98"/>
      <c r="J67" s="66"/>
      <c r="N67" s="101"/>
      <c r="O67" s="67"/>
      <c r="P67" s="71"/>
      <c r="Q67" s="71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46416370.969999991</v>
      </c>
      <c r="H68" s="57"/>
      <c r="I68" s="98"/>
      <c r="J68" s="108"/>
      <c r="M68" s="101"/>
      <c r="N68" s="101"/>
      <c r="O68" s="69"/>
      <c r="P68" s="6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0</v>
      </c>
      <c r="E69" s="101"/>
      <c r="F69" s="104" t="s">
        <v>8</v>
      </c>
      <c r="G69" s="107">
        <f>X55</f>
        <v>905509.09999999963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163081687.68414295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-134702284.8971619</v>
      </c>
      <c r="E73" s="71"/>
      <c r="F73" s="114" t="s">
        <v>163</v>
      </c>
      <c r="G73" s="115">
        <f>L55*1000</f>
        <v>107862155.20815271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0</v>
      </c>
      <c r="E74" s="71"/>
      <c r="F74" s="114" t="s">
        <v>165</v>
      </c>
      <c r="G74" s="115">
        <f>M55*1000</f>
        <v>64000538.409478322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-29022481.989980001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-66376354.126999997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-33553000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-700026.36199999996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0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-5050422.4181818999</v>
      </c>
      <c r="E81" s="101" t="s">
        <v>205</v>
      </c>
      <c r="F81" s="128" t="s">
        <v>172</v>
      </c>
      <c r="G81" s="126">
        <f>AH55</f>
        <v>21297.839999997261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0</v>
      </c>
      <c r="E82" s="71"/>
      <c r="F82" s="128" t="s">
        <v>173</v>
      </c>
      <c r="G82" s="126">
        <f>AJ55</f>
        <v>676740.54999999818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88.094999999999999</v>
      </c>
      <c r="L90" s="143">
        <f>AR50+AR51+AR53+AR40+AR42+AR43+AR45</f>
        <v>0</v>
      </c>
      <c r="M90" s="144">
        <f t="shared" ref="M90:M106" si="10">G90+H90+I90+J90+K90+L90</f>
        <v>33555.201463993006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52.140470000000001</v>
      </c>
      <c r="L91" s="143">
        <f>BH50+BH51+BH53+BH40+BH42+BH43+BH45</f>
        <v>-614.80235435999998</v>
      </c>
      <c r="M91" s="144">
        <f t="shared" si="10"/>
        <v>24042.4989156421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206847.64172400683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36.488999999999997</v>
      </c>
      <c r="L92" s="143">
        <f>BA50+BA51+BA53+BA40+BA42+BA43+BA45</f>
        <v>-2.5639999999999996</v>
      </c>
      <c r="M92" s="144">
        <f t="shared" si="10"/>
        <v>206881.56672400681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136146.99715368054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0</v>
      </c>
      <c r="L93" s="143">
        <f>BE50+BE51+BE53+BE40+BE42+BE43+BE45</f>
        <v>0</v>
      </c>
      <c r="M93" s="144">
        <f t="shared" si="10"/>
        <v>136146.99715368054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52018.208225996794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555.65114000000005</v>
      </c>
      <c r="L94" s="143">
        <f>AW50+AW51+AW53+AW40+AW42+AW43+AW45</f>
        <v>-170.433324</v>
      </c>
      <c r="M94" s="144">
        <f t="shared" si="10"/>
        <v>52403.426041996798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0.03</v>
      </c>
      <c r="L95" s="143">
        <f>AT50+AT51+AT53+AT40+AT42+AT43+AT45</f>
        <v>0</v>
      </c>
      <c r="M95" s="144">
        <f t="shared" si="10"/>
        <v>11.356432002509914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1.7000000000000001E-2</v>
      </c>
      <c r="L96" s="143">
        <f>AS50+AS51+AS53+AS40+AS42+AS43+AS45</f>
        <v>0</v>
      </c>
      <c r="M96" s="144">
        <f t="shared" si="10"/>
        <v>6.3589079996137476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298.09345999999999</v>
      </c>
      <c r="L97" s="143">
        <f>BI50+BI51+BI53+BI40+BI42+BI43+BI45</f>
        <v>-116797.68924519999</v>
      </c>
      <c r="M97" s="144">
        <f t="shared" si="10"/>
        <v>91228.305224800017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273245.46884799853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48.201999999999998</v>
      </c>
      <c r="L98" s="143">
        <f>BC50+BC51+BC53+BC40+BC42+BC43+BC45</f>
        <v>-3.3740000000000001</v>
      </c>
      <c r="M98" s="144">
        <f t="shared" si="10"/>
        <v>273290.29684799851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71630.152219991171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12.635999999999999</v>
      </c>
      <c r="L99" s="143">
        <f>BB50+BB51+BB53+BB40+BB42+BB43+BB45</f>
        <v>-0.88500000000000001</v>
      </c>
      <c r="M99" s="144">
        <f t="shared" si="10"/>
        <v>71641.903219991174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294827.49323035986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0</v>
      </c>
      <c r="L100" s="143">
        <f>BF50+BF51+BF53+BF40+BF42+BF43+BF45</f>
        <v>0</v>
      </c>
      <c r="M100" s="144">
        <f t="shared" si="10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5.8297499999999998</v>
      </c>
      <c r="L101" s="143">
        <f>AY50+AY51+AY53+AY40+AY42+AY43+AY45</f>
        <v>-943.63199999999995</v>
      </c>
      <c r="M101" s="144">
        <f t="shared" si="10"/>
        <v>126.79387400108783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34.847999999999999</v>
      </c>
      <c r="L102" s="143">
        <f>AU50+AU51+AU53+AU40+AU42+AU43+AU45</f>
        <v>0</v>
      </c>
      <c r="M102" s="144">
        <f t="shared" si="10"/>
        <v>70887.413203997276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0.28754999999999997</v>
      </c>
      <c r="L103" s="143">
        <f>BJ50+BJ51+BJ53+BJ40+BJ42+BJ43+BJ45</f>
        <v>-37.115167999999997</v>
      </c>
      <c r="M103" s="144">
        <f t="shared" si="10"/>
        <v>153973.77566256022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17458.541599989851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3.08</v>
      </c>
      <c r="L104" s="143">
        <f>BD50+BD51+BD53+BD40+BD42+BD43+BD45</f>
        <v>-0.22600000000000001</v>
      </c>
      <c r="M104" s="144">
        <f t="shared" si="10"/>
        <v>17461.395599989854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0.28754999999999997</v>
      </c>
      <c r="L105" s="143">
        <f>BG50+BG51+BG53+BG40+BG42+BG43+BG45</f>
        <v>0</v>
      </c>
      <c r="M105" s="144">
        <f t="shared" si="10"/>
        <v>35110.695568882758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4468672.0798879992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13377.76852</v>
      </c>
      <c r="L106" s="143">
        <f>AY50+AY51+AY53+AY40+AY42+AY43+AY45</f>
        <v>-943.63199999999995</v>
      </c>
      <c r="M106" s="144">
        <f t="shared" si="10"/>
        <v>4481106.2164079994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1">SUM(G90:G94)</f>
        <v>453085.11436767929</v>
      </c>
      <c r="H108" s="98">
        <f t="shared" si="11"/>
        <v>0</v>
      </c>
      <c r="I108" s="98">
        <f t="shared" si="11"/>
        <v>0</v>
      </c>
      <c r="J108" s="98">
        <f t="shared" si="11"/>
        <v>0</v>
      </c>
      <c r="K108" s="98">
        <f t="shared" si="11"/>
        <v>732.37561000000005</v>
      </c>
      <c r="L108" s="98">
        <f t="shared" si="11"/>
        <v>-787.79967835999992</v>
      </c>
      <c r="M108" s="98">
        <f t="shared" si="11"/>
        <v>453029.69029931928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2">SUM(G95:G101)</f>
        <v>848513.27977235278</v>
      </c>
      <c r="H109" s="98">
        <f t="shared" si="12"/>
        <v>0</v>
      </c>
      <c r="I109" s="98">
        <f t="shared" si="12"/>
        <v>0</v>
      </c>
      <c r="J109" s="98">
        <f t="shared" si="12"/>
        <v>0</v>
      </c>
      <c r="K109" s="98">
        <f t="shared" si="12"/>
        <v>364.80821000000003</v>
      </c>
      <c r="L109" s="98">
        <f t="shared" si="12"/>
        <v>-117745.58024519998</v>
      </c>
      <c r="M109" s="98">
        <f t="shared" si="12"/>
        <v>731132.50773715274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3">SUM(G102:G106)</f>
        <v>4746104.1979914289</v>
      </c>
      <c r="H110" s="98">
        <f t="shared" si="13"/>
        <v>0</v>
      </c>
      <c r="I110" s="98">
        <f t="shared" si="13"/>
        <v>0</v>
      </c>
      <c r="J110" s="98">
        <f t="shared" si="13"/>
        <v>0</v>
      </c>
      <c r="K110" s="98">
        <f t="shared" si="13"/>
        <v>13416.27162</v>
      </c>
      <c r="L110" s="98">
        <f t="shared" si="13"/>
        <v>-980.97316799999999</v>
      </c>
      <c r="M110" s="98">
        <f t="shared" si="13"/>
        <v>4758539.49644343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mergeCells count="18">
    <mergeCell ref="A9:A29"/>
    <mergeCell ref="D1:BK1"/>
    <mergeCell ref="BL1:BN1"/>
    <mergeCell ref="BR1:CJ1"/>
    <mergeCell ref="CW2:CW4"/>
    <mergeCell ref="A5:A8"/>
    <mergeCell ref="B82:B84"/>
    <mergeCell ref="A30:A34"/>
    <mergeCell ref="A35:A39"/>
    <mergeCell ref="A40:A44"/>
    <mergeCell ref="A45:A53"/>
    <mergeCell ref="B61:B65"/>
    <mergeCell ref="B66:B68"/>
    <mergeCell ref="B69:B70"/>
    <mergeCell ref="B71:B72"/>
    <mergeCell ref="B74:B77"/>
    <mergeCell ref="B78:B79"/>
    <mergeCell ref="B80:B81"/>
  </mergeCells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W130"/>
  <sheetViews>
    <sheetView tabSelected="1" zoomScale="115" zoomScaleNormal="115" workbookViewId="0">
      <pane xSplit="3" ySplit="4" topLeftCell="D35" activePane="bottomRight" state="frozen"/>
      <selection pane="topRight" activeCell="D1" sqref="D1"/>
      <selection pane="bottomLeft" activeCell="A5" sqref="A5"/>
      <selection pane="bottomRight" activeCell="D57" sqref="D57"/>
    </sheetView>
  </sheetViews>
  <sheetFormatPr baseColWidth="10" defaultColWidth="19.109375" defaultRowHeight="14.4" x14ac:dyDescent="0.3"/>
  <cols>
    <col min="1" max="1" width="19.109375" style="1"/>
    <col min="2" max="2" width="6" style="2" customWidth="1"/>
    <col min="3" max="3" width="48.109375" style="3" bestFit="1" customWidth="1"/>
    <col min="4" max="4" width="23.5546875" style="1" customWidth="1"/>
    <col min="5" max="5" width="19.33203125" style="1" bestFit="1" customWidth="1"/>
    <col min="6" max="6" width="23.33203125" style="1" customWidth="1"/>
    <col min="7" max="7" width="20.88671875" style="1" customWidth="1"/>
    <col min="8" max="8" width="19.33203125" style="1" customWidth="1"/>
    <col min="9" max="9" width="27.6640625" style="1" customWidth="1"/>
    <col min="10" max="10" width="19.88671875" style="1" bestFit="1" customWidth="1"/>
    <col min="11" max="11" width="19.88671875" style="1" customWidth="1"/>
    <col min="12" max="12" width="21.88671875" style="1" customWidth="1"/>
    <col min="13" max="13" width="17.6640625" style="1" bestFit="1" customWidth="1"/>
    <col min="14" max="14" width="20.109375" style="1" bestFit="1" customWidth="1"/>
    <col min="15" max="15" width="22.5546875" style="1" bestFit="1" customWidth="1"/>
    <col min="16" max="16" width="21.21875" style="1" customWidth="1"/>
    <col min="17" max="17" width="23.5546875" style="1" bestFit="1" customWidth="1"/>
    <col min="18" max="18" width="17.88671875" style="1" bestFit="1" customWidth="1"/>
    <col min="19" max="19" width="19.44140625" style="1" bestFit="1" customWidth="1"/>
    <col min="20" max="25" width="19.44140625" style="1" customWidth="1"/>
    <col min="26" max="26" width="20.109375" style="1" bestFit="1" customWidth="1"/>
    <col min="27" max="27" width="22.5546875" style="1" bestFit="1" customWidth="1"/>
    <col min="28" max="29" width="15.6640625" style="1" bestFit="1" customWidth="1"/>
    <col min="30" max="30" width="17.109375" style="1" bestFit="1" customWidth="1"/>
    <col min="31" max="31" width="19.44140625" style="1" bestFit="1" customWidth="1"/>
    <col min="32" max="32" width="19.33203125" style="1" bestFit="1" customWidth="1"/>
    <col min="33" max="33" width="21.6640625" style="1" bestFit="1" customWidth="1"/>
    <col min="34" max="37" width="15.6640625" style="1" bestFit="1" customWidth="1"/>
    <col min="38" max="38" width="18.44140625" style="1" bestFit="1" customWidth="1"/>
    <col min="39" max="39" width="18.5546875" style="1" bestFit="1" customWidth="1"/>
    <col min="40" max="43" width="18.5546875" style="1" customWidth="1"/>
    <col min="44" max="48" width="18.33203125" style="1" bestFit="1" customWidth="1"/>
    <col min="49" max="49" width="16.44140625" style="1" bestFit="1" customWidth="1"/>
    <col min="50" max="50" width="11.5546875" style="1" bestFit="1" customWidth="1"/>
    <col min="51" max="51" width="13.88671875" style="1" bestFit="1" customWidth="1"/>
    <col min="52" max="52" width="15.44140625" style="1" bestFit="1" customWidth="1"/>
    <col min="53" max="53" width="16.44140625" style="1" bestFit="1" customWidth="1"/>
    <col min="54" max="54" width="13.88671875" style="1" bestFit="1" customWidth="1"/>
    <col min="55" max="55" width="14.109375" style="1" bestFit="1" customWidth="1"/>
    <col min="56" max="56" width="17.5546875" style="1" bestFit="1" customWidth="1"/>
    <col min="57" max="59" width="17.88671875" style="1" bestFit="1" customWidth="1"/>
    <col min="60" max="60" width="16.44140625" style="1" bestFit="1" customWidth="1"/>
    <col min="61" max="61" width="15.6640625" style="1" bestFit="1" customWidth="1"/>
    <col min="62" max="62" width="14.44140625" style="1" bestFit="1" customWidth="1"/>
    <col min="63" max="63" width="15.88671875" style="1" bestFit="1" customWidth="1"/>
    <col min="64" max="64" width="20.88671875" style="1" bestFit="1" customWidth="1"/>
    <col min="65" max="66" width="19.33203125" style="1" bestFit="1" customWidth="1"/>
    <col min="67" max="68" width="19.33203125" style="1" customWidth="1"/>
    <col min="69" max="69" width="21.33203125" style="1" customWidth="1"/>
    <col min="70" max="73" width="21.5546875" style="1" bestFit="1" customWidth="1"/>
    <col min="74" max="76" width="18.33203125" style="1" bestFit="1" customWidth="1"/>
    <col min="77" max="77" width="23.33203125" style="1" bestFit="1" customWidth="1"/>
    <col min="78" max="79" width="20.44140625" style="1" bestFit="1" customWidth="1"/>
    <col min="80" max="80" width="16.44140625" style="1" bestFit="1" customWidth="1"/>
    <col min="81" max="82" width="16.33203125" style="1" bestFit="1" customWidth="1"/>
    <col min="83" max="83" width="16.44140625" style="1" bestFit="1" customWidth="1"/>
    <col min="84" max="84" width="14" style="1" customWidth="1"/>
    <col min="85" max="85" width="13.33203125" style="1" bestFit="1" customWidth="1"/>
    <col min="86" max="86" width="17.88671875" style="1" bestFit="1" customWidth="1"/>
    <col min="87" max="88" width="20.6640625" style="1" bestFit="1" customWidth="1"/>
    <col min="89" max="95" width="20.6640625" style="1" customWidth="1"/>
    <col min="96" max="96" width="20.44140625" style="1" bestFit="1" customWidth="1"/>
    <col min="97" max="100" width="20.44140625" style="1" customWidth="1"/>
    <col min="101" max="16384" width="19.109375" style="1"/>
  </cols>
  <sheetData>
    <row r="1" spans="1:101" x14ac:dyDescent="0.3">
      <c r="D1" s="167" t="s">
        <v>0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9"/>
      <c r="BL1" s="167" t="s">
        <v>1</v>
      </c>
      <c r="BM1" s="168"/>
      <c r="BN1" s="169"/>
      <c r="BO1" s="4" t="s">
        <v>2</v>
      </c>
      <c r="BP1" s="4" t="s">
        <v>3</v>
      </c>
      <c r="BQ1" s="4" t="s">
        <v>4</v>
      </c>
      <c r="BR1" s="170" t="s">
        <v>5</v>
      </c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spans="1:101" s="2" customFormat="1" x14ac:dyDescent="0.3">
      <c r="C2" s="3"/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7" t="s">
        <v>6</v>
      </c>
      <c r="L2" s="7" t="s">
        <v>7</v>
      </c>
      <c r="M2" s="7" t="s">
        <v>8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13</v>
      </c>
      <c r="AA2" s="6" t="s">
        <v>14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29</v>
      </c>
      <c r="AR2" s="6" t="s">
        <v>6</v>
      </c>
      <c r="AS2" s="6" t="s">
        <v>7</v>
      </c>
      <c r="AT2" s="6" t="s">
        <v>11</v>
      </c>
      <c r="AU2" s="6" t="s">
        <v>8</v>
      </c>
      <c r="AV2" s="6" t="s">
        <v>25</v>
      </c>
      <c r="AW2" s="6" t="s">
        <v>6</v>
      </c>
      <c r="AX2" s="6" t="s">
        <v>7</v>
      </c>
      <c r="AY2" s="6" t="s">
        <v>8</v>
      </c>
      <c r="AZ2" s="6" t="s">
        <v>25</v>
      </c>
      <c r="BA2" s="6" t="s">
        <v>6</v>
      </c>
      <c r="BB2" s="6" t="s">
        <v>7</v>
      </c>
      <c r="BC2" s="6" t="s">
        <v>11</v>
      </c>
      <c r="BD2" s="6" t="s">
        <v>8</v>
      </c>
      <c r="BE2" s="6" t="s">
        <v>6</v>
      </c>
      <c r="BF2" s="6" t="s">
        <v>7</v>
      </c>
      <c r="BG2" s="6" t="s">
        <v>8</v>
      </c>
      <c r="BH2" s="6" t="s">
        <v>6</v>
      </c>
      <c r="BI2" s="6" t="s">
        <v>7</v>
      </c>
      <c r="BJ2" s="6" t="s">
        <v>8</v>
      </c>
      <c r="BK2" s="6" t="s">
        <v>25</v>
      </c>
      <c r="BL2" s="6" t="s">
        <v>9</v>
      </c>
      <c r="BM2" s="6" t="s">
        <v>10</v>
      </c>
      <c r="BN2" s="6" t="s">
        <v>12</v>
      </c>
      <c r="BO2" s="6" t="s">
        <v>10</v>
      </c>
      <c r="BP2" s="6" t="s">
        <v>10</v>
      </c>
      <c r="BQ2" s="6" t="s">
        <v>10</v>
      </c>
      <c r="BR2" s="8" t="s">
        <v>30</v>
      </c>
      <c r="BS2" s="8" t="s">
        <v>16</v>
      </c>
      <c r="BT2" s="8" t="s">
        <v>31</v>
      </c>
      <c r="BU2" s="8" t="s">
        <v>18</v>
      </c>
      <c r="BV2" s="8" t="s">
        <v>6</v>
      </c>
      <c r="BW2" s="8" t="s">
        <v>7</v>
      </c>
      <c r="BX2" s="8" t="s">
        <v>8</v>
      </c>
      <c r="BY2" s="8" t="s">
        <v>6</v>
      </c>
      <c r="BZ2" s="8" t="s">
        <v>7</v>
      </c>
      <c r="CA2" s="8" t="s">
        <v>8</v>
      </c>
      <c r="CB2" s="8" t="s">
        <v>6</v>
      </c>
      <c r="CC2" s="8" t="s">
        <v>7</v>
      </c>
      <c r="CD2" s="8" t="s">
        <v>8</v>
      </c>
      <c r="CE2" s="8" t="s">
        <v>6</v>
      </c>
      <c r="CF2" s="8" t="s">
        <v>7</v>
      </c>
      <c r="CG2" s="8" t="s">
        <v>8</v>
      </c>
      <c r="CH2" s="8" t="s">
        <v>8</v>
      </c>
      <c r="CI2" s="8" t="s">
        <v>7</v>
      </c>
      <c r="CJ2" s="8" t="s">
        <v>8</v>
      </c>
      <c r="CK2" s="8" t="s">
        <v>7</v>
      </c>
      <c r="CL2" s="8" t="s">
        <v>7</v>
      </c>
      <c r="CM2" s="8" t="s">
        <v>7</v>
      </c>
      <c r="CN2" s="8" t="s">
        <v>7</v>
      </c>
      <c r="CO2" s="8" t="s">
        <v>7</v>
      </c>
      <c r="CP2" s="8" t="s">
        <v>7</v>
      </c>
      <c r="CQ2" s="8" t="s">
        <v>7</v>
      </c>
      <c r="CR2" s="8" t="s">
        <v>7</v>
      </c>
      <c r="CS2" s="8" t="s">
        <v>30</v>
      </c>
      <c r="CT2" s="8" t="s">
        <v>16</v>
      </c>
      <c r="CU2" s="8" t="s">
        <v>31</v>
      </c>
      <c r="CV2" s="8" t="s">
        <v>18</v>
      </c>
      <c r="CW2" s="171" t="s">
        <v>32</v>
      </c>
    </row>
    <row r="3" spans="1:101" s="2" customFormat="1" x14ac:dyDescent="0.3">
      <c r="C3" s="3"/>
      <c r="D3" s="9" t="s">
        <v>33</v>
      </c>
      <c r="E3" s="9" t="s">
        <v>33</v>
      </c>
      <c r="F3" s="9" t="s">
        <v>33</v>
      </c>
      <c r="G3" s="9" t="s">
        <v>33</v>
      </c>
      <c r="H3" s="9" t="s">
        <v>33</v>
      </c>
      <c r="I3" s="9" t="s">
        <v>33</v>
      </c>
      <c r="J3" s="9" t="s">
        <v>33</v>
      </c>
      <c r="K3" s="10" t="s">
        <v>34</v>
      </c>
      <c r="L3" s="10" t="s">
        <v>34</v>
      </c>
      <c r="M3" s="10" t="s">
        <v>34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37</v>
      </c>
      <c r="AA3" s="9" t="s">
        <v>37</v>
      </c>
      <c r="AB3" s="9" t="s">
        <v>37</v>
      </c>
      <c r="AC3" s="9" t="s">
        <v>37</v>
      </c>
      <c r="AD3" s="9" t="s">
        <v>37</v>
      </c>
      <c r="AE3" s="9" t="s">
        <v>37</v>
      </c>
      <c r="AF3" s="9" t="s">
        <v>37</v>
      </c>
      <c r="AG3" s="9" t="s">
        <v>37</v>
      </c>
      <c r="AH3" s="9" t="s">
        <v>37</v>
      </c>
      <c r="AI3" s="9" t="s">
        <v>37</v>
      </c>
      <c r="AJ3" s="9" t="s">
        <v>37</v>
      </c>
      <c r="AK3" s="9" t="s">
        <v>37</v>
      </c>
      <c r="AL3" s="9" t="s">
        <v>38</v>
      </c>
      <c r="AM3" s="9" t="s">
        <v>38</v>
      </c>
      <c r="AN3" s="9"/>
      <c r="AO3" s="9"/>
      <c r="AP3" s="9"/>
      <c r="AQ3" s="9" t="s">
        <v>39</v>
      </c>
      <c r="AR3" s="9" t="s">
        <v>40</v>
      </c>
      <c r="AS3" s="9" t="s">
        <v>40</v>
      </c>
      <c r="AT3" s="9" t="s">
        <v>40</v>
      </c>
      <c r="AU3" s="9" t="s">
        <v>40</v>
      </c>
      <c r="AV3" s="9" t="s">
        <v>40</v>
      </c>
      <c r="AW3" s="9" t="s">
        <v>41</v>
      </c>
      <c r="AX3" s="9" t="s">
        <v>41</v>
      </c>
      <c r="AY3" s="9" t="s">
        <v>41</v>
      </c>
      <c r="AZ3" s="9" t="s">
        <v>41</v>
      </c>
      <c r="BA3" s="9" t="s">
        <v>42</v>
      </c>
      <c r="BB3" s="9" t="s">
        <v>42</v>
      </c>
      <c r="BC3" s="9" t="s">
        <v>42</v>
      </c>
      <c r="BD3" s="9" t="s">
        <v>42</v>
      </c>
      <c r="BE3" s="9" t="s">
        <v>43</v>
      </c>
      <c r="BF3" s="9" t="s">
        <v>43</v>
      </c>
      <c r="BG3" s="9" t="s">
        <v>43</v>
      </c>
      <c r="BH3" s="9" t="s">
        <v>44</v>
      </c>
      <c r="BI3" s="9" t="s">
        <v>44</v>
      </c>
      <c r="BJ3" s="9" t="s">
        <v>44</v>
      </c>
      <c r="BK3" s="9" t="s">
        <v>44</v>
      </c>
      <c r="BL3" s="9" t="s">
        <v>33</v>
      </c>
      <c r="BM3" s="9" t="s">
        <v>33</v>
      </c>
      <c r="BN3" s="9" t="s">
        <v>33</v>
      </c>
      <c r="BO3" s="9" t="s">
        <v>33</v>
      </c>
      <c r="BP3" s="9" t="s">
        <v>33</v>
      </c>
      <c r="BQ3" s="9" t="s">
        <v>33</v>
      </c>
      <c r="BR3" s="11" t="s">
        <v>45</v>
      </c>
      <c r="BS3" s="11" t="s">
        <v>45</v>
      </c>
      <c r="BT3" s="11" t="s">
        <v>45</v>
      </c>
      <c r="BU3" s="11" t="s">
        <v>45</v>
      </c>
      <c r="BV3" s="11" t="s">
        <v>40</v>
      </c>
      <c r="BW3" s="11" t="s">
        <v>40</v>
      </c>
      <c r="BX3" s="11" t="s">
        <v>40</v>
      </c>
      <c r="BY3" s="11" t="s">
        <v>44</v>
      </c>
      <c r="BZ3" s="11" t="s">
        <v>44</v>
      </c>
      <c r="CA3" s="11" t="s">
        <v>44</v>
      </c>
      <c r="CB3" s="11" t="s">
        <v>46</v>
      </c>
      <c r="CC3" s="11" t="s">
        <v>46</v>
      </c>
      <c r="CD3" s="11" t="s">
        <v>46</v>
      </c>
      <c r="CE3" s="11" t="s">
        <v>47</v>
      </c>
      <c r="CF3" s="11" t="s">
        <v>47</v>
      </c>
      <c r="CG3" s="11" t="s">
        <v>47</v>
      </c>
      <c r="CH3" s="11" t="s">
        <v>43</v>
      </c>
      <c r="CI3" s="11" t="s">
        <v>48</v>
      </c>
      <c r="CJ3" s="11" t="s">
        <v>48</v>
      </c>
      <c r="CK3" s="11" t="s">
        <v>49</v>
      </c>
      <c r="CL3" s="11" t="s">
        <v>49</v>
      </c>
      <c r="CM3" s="11" t="s">
        <v>33</v>
      </c>
      <c r="CN3" s="11" t="s">
        <v>44</v>
      </c>
      <c r="CO3" s="11" t="s">
        <v>50</v>
      </c>
      <c r="CP3" s="11" t="s">
        <v>48</v>
      </c>
      <c r="CQ3" s="11" t="s">
        <v>48</v>
      </c>
      <c r="CR3" s="11" t="s">
        <v>51</v>
      </c>
      <c r="CS3" s="11" t="s">
        <v>52</v>
      </c>
      <c r="CT3" s="11" t="s">
        <v>52</v>
      </c>
      <c r="CU3" s="11" t="s">
        <v>52</v>
      </c>
      <c r="CV3" s="11" t="s">
        <v>52</v>
      </c>
      <c r="CW3" s="171"/>
    </row>
    <row r="4" spans="1:101" s="16" customFormat="1" x14ac:dyDescent="0.3">
      <c r="A4" s="12" t="s">
        <v>53</v>
      </c>
      <c r="B4" s="12" t="s">
        <v>54</v>
      </c>
      <c r="C4" s="12" t="s">
        <v>55</v>
      </c>
      <c r="D4" s="13"/>
      <c r="E4" s="13"/>
      <c r="F4" s="13"/>
      <c r="G4" s="13">
        <v>482800001265</v>
      </c>
      <c r="H4" s="13">
        <v>482800001273</v>
      </c>
      <c r="I4" s="13">
        <v>482800002024</v>
      </c>
      <c r="J4" s="13">
        <v>482800001257</v>
      </c>
      <c r="K4" s="13" t="s">
        <v>56</v>
      </c>
      <c r="L4" s="13" t="s">
        <v>57</v>
      </c>
      <c r="M4" s="13" t="s">
        <v>58</v>
      </c>
      <c r="N4" s="13">
        <v>36203301</v>
      </c>
      <c r="O4" s="13">
        <v>36203301</v>
      </c>
      <c r="P4" s="13">
        <v>36203328</v>
      </c>
      <c r="Q4" s="13">
        <v>36203328</v>
      </c>
      <c r="R4" s="13">
        <v>36025015</v>
      </c>
      <c r="S4" s="13">
        <v>36025015</v>
      </c>
      <c r="T4" s="13">
        <v>705329517</v>
      </c>
      <c r="U4" s="13">
        <v>705329517</v>
      </c>
      <c r="V4" s="13">
        <v>705300062</v>
      </c>
      <c r="W4" s="13">
        <v>705300062</v>
      </c>
      <c r="X4" s="13">
        <v>705300070</v>
      </c>
      <c r="Y4" s="13">
        <v>705300070</v>
      </c>
      <c r="Z4" s="13">
        <v>865784010</v>
      </c>
      <c r="AA4" s="13">
        <v>865784010</v>
      </c>
      <c r="AB4" s="13">
        <v>865804010</v>
      </c>
      <c r="AC4" s="13">
        <v>865804010</v>
      </c>
      <c r="AD4" s="13">
        <v>865794010</v>
      </c>
      <c r="AE4" s="13">
        <v>865794010</v>
      </c>
      <c r="AF4" s="13" t="s">
        <v>59</v>
      </c>
      <c r="AG4" s="13" t="s">
        <v>59</v>
      </c>
      <c r="AH4" s="14" t="s">
        <v>60</v>
      </c>
      <c r="AI4" s="14" t="s">
        <v>60</v>
      </c>
      <c r="AJ4" s="14" t="s">
        <v>61</v>
      </c>
      <c r="AK4" s="14" t="s">
        <v>61</v>
      </c>
      <c r="AL4" s="13"/>
      <c r="AM4" s="13"/>
      <c r="AN4" s="13"/>
      <c r="AO4" s="13"/>
      <c r="AP4" s="13"/>
      <c r="AQ4" s="13"/>
      <c r="AR4" s="13" t="s">
        <v>62</v>
      </c>
      <c r="AS4" s="13" t="s">
        <v>63</v>
      </c>
      <c r="AT4" s="13" t="s">
        <v>64</v>
      </c>
      <c r="AU4" s="13" t="s">
        <v>65</v>
      </c>
      <c r="AV4" s="13" t="s">
        <v>66</v>
      </c>
      <c r="AW4" s="13" t="s">
        <v>67</v>
      </c>
      <c r="AX4" s="13" t="s">
        <v>68</v>
      </c>
      <c r="AY4" s="13" t="s">
        <v>69</v>
      </c>
      <c r="AZ4" s="13" t="s">
        <v>70</v>
      </c>
      <c r="BA4" s="13" t="s">
        <v>71</v>
      </c>
      <c r="BB4" s="13" t="s">
        <v>72</v>
      </c>
      <c r="BC4" s="13" t="s">
        <v>73</v>
      </c>
      <c r="BD4" s="13" t="s">
        <v>74</v>
      </c>
      <c r="BE4" s="13" t="s">
        <v>75</v>
      </c>
      <c r="BF4" s="13" t="s">
        <v>76</v>
      </c>
      <c r="BG4" s="13" t="s">
        <v>77</v>
      </c>
      <c r="BH4" s="13">
        <v>17171123071</v>
      </c>
      <c r="BI4" s="13" t="s">
        <v>78</v>
      </c>
      <c r="BJ4" s="13" t="s">
        <v>79</v>
      </c>
      <c r="BK4" s="13" t="s">
        <v>80</v>
      </c>
      <c r="BL4" s="13">
        <v>482800007882</v>
      </c>
      <c r="BM4" s="13">
        <v>482800007908</v>
      </c>
      <c r="BN4" s="13">
        <v>482800007890</v>
      </c>
      <c r="BO4" s="13">
        <v>482800010001</v>
      </c>
      <c r="BP4" s="13">
        <v>482800010019</v>
      </c>
      <c r="BQ4" s="13">
        <v>482800010027</v>
      </c>
      <c r="BR4" s="15">
        <v>36024995</v>
      </c>
      <c r="BS4" s="15">
        <v>36024995</v>
      </c>
      <c r="BT4" s="15">
        <v>36903922</v>
      </c>
      <c r="BU4" s="15">
        <v>36903922</v>
      </c>
      <c r="BV4" s="15" t="s">
        <v>81</v>
      </c>
      <c r="BW4" s="15" t="s">
        <v>82</v>
      </c>
      <c r="BX4" s="15" t="s">
        <v>83</v>
      </c>
      <c r="BY4" s="15">
        <v>5300635932</v>
      </c>
      <c r="BZ4" s="15">
        <v>5300250331</v>
      </c>
      <c r="CA4" s="15">
        <v>5300218006</v>
      </c>
      <c r="CB4" s="15" t="s">
        <v>84</v>
      </c>
      <c r="CC4" s="15" t="s">
        <v>85</v>
      </c>
      <c r="CD4" s="15" t="s">
        <v>86</v>
      </c>
      <c r="CE4" s="15" t="s">
        <v>87</v>
      </c>
      <c r="CF4" s="15" t="s">
        <v>88</v>
      </c>
      <c r="CG4" s="15" t="s">
        <v>89</v>
      </c>
      <c r="CH4" s="15">
        <v>121010607</v>
      </c>
      <c r="CI4" s="15">
        <v>221816614</v>
      </c>
      <c r="CJ4" s="15">
        <v>221816598</v>
      </c>
      <c r="CK4" s="15">
        <v>60193029</v>
      </c>
      <c r="CL4" s="15">
        <v>60193401</v>
      </c>
      <c r="CM4" s="15">
        <v>1011143807</v>
      </c>
      <c r="CN4" s="15">
        <v>4801736642</v>
      </c>
      <c r="CO4" s="15">
        <v>65005340</v>
      </c>
      <c r="CP4" s="15">
        <v>288086051</v>
      </c>
      <c r="CQ4" s="15">
        <v>288049109</v>
      </c>
      <c r="CR4" s="15">
        <v>411166042</v>
      </c>
      <c r="CS4" s="15">
        <v>865804015</v>
      </c>
      <c r="CT4" s="15">
        <v>865804015</v>
      </c>
      <c r="CU4" s="15">
        <v>865794015</v>
      </c>
      <c r="CV4" s="15">
        <v>865794015</v>
      </c>
      <c r="CW4" s="171"/>
    </row>
    <row r="5" spans="1:101" s="16" customFormat="1" x14ac:dyDescent="0.3">
      <c r="A5" s="172" t="s">
        <v>5</v>
      </c>
      <c r="B5" s="17"/>
      <c r="C5" s="17" t="s">
        <v>90</v>
      </c>
      <c r="D5" s="18">
        <f>'SEP 01'!D5</f>
        <v>464621.61545994511</v>
      </c>
      <c r="E5" s="18">
        <f>'SEP 01'!E5</f>
        <v>7202665.2030362291</v>
      </c>
      <c r="F5" s="18">
        <f>'SEP 01'!F5</f>
        <v>14391884.123444378</v>
      </c>
      <c r="G5" s="18">
        <f>'SEP 01'!G5</f>
        <v>0</v>
      </c>
      <c r="H5" s="18">
        <f>'SEP 01'!H5</f>
        <v>0</v>
      </c>
      <c r="I5" s="18">
        <f>'SEP 01'!I5</f>
        <v>74942.279964578338</v>
      </c>
      <c r="J5" s="18">
        <f>'SEP 01'!J5</f>
        <v>0</v>
      </c>
      <c r="K5" s="18">
        <f>'SEP 01'!K5</f>
        <v>63079.012112142977</v>
      </c>
      <c r="L5" s="18">
        <f>'SEP 01'!L5</f>
        <v>226422.85016291589</v>
      </c>
      <c r="M5" s="18">
        <f>'SEP 01'!M5</f>
        <v>102258.18094473705</v>
      </c>
      <c r="N5" s="18">
        <f>'SEP 01'!N5</f>
        <v>120822.5199999999</v>
      </c>
      <c r="O5" s="18">
        <f>'SEP 01'!O5</f>
        <v>485514.42259319959</v>
      </c>
      <c r="P5" s="18">
        <f>'SEP 01'!P5</f>
        <v>199831.79346686602</v>
      </c>
      <c r="Q5" s="18">
        <f>'SEP 01'!Q5</f>
        <v>803006.077185189</v>
      </c>
      <c r="R5" s="18">
        <f>'SEP 01'!R5</f>
        <v>497759.29450999975</v>
      </c>
      <c r="S5" s="18">
        <f>'SEP 01'!S5</f>
        <v>2000200.9266519279</v>
      </c>
      <c r="T5" s="18">
        <f>'SEP 01'!T5</f>
        <v>56516.94</v>
      </c>
      <c r="U5" s="18">
        <f>'SEP 01'!U5</f>
        <v>227108.23686539999</v>
      </c>
      <c r="V5" s="18">
        <f>'SEP 01'!V5</f>
        <v>38030203.239999995</v>
      </c>
      <c r="W5" s="18">
        <f>'SEP 01'!W5</f>
        <v>152820949.00164837</v>
      </c>
      <c r="X5" s="18">
        <f>'SEP 01'!X5</f>
        <v>1401713.3900000001</v>
      </c>
      <c r="Y5" s="18">
        <f>'SEP 01'!Y5</f>
        <v>5632659.1035099002</v>
      </c>
      <c r="Z5" s="18">
        <f>'SEP 01'!Z5</f>
        <v>9662.5274983807467</v>
      </c>
      <c r="AA5" s="18">
        <f>'SEP 01'!AA5</f>
        <v>38827.997124768175</v>
      </c>
      <c r="AB5" s="18">
        <f>'SEP 01'!AB5</f>
        <v>7542.7499999967404</v>
      </c>
      <c r="AC5" s="18">
        <f>'SEP 01'!AC5</f>
        <v>30309.862027486903</v>
      </c>
      <c r="AD5" s="18">
        <f>'SEP 01'!AD5</f>
        <v>5155</v>
      </c>
      <c r="AE5" s="18">
        <f>'SEP 01'!AE5</f>
        <v>20714.903549999999</v>
      </c>
      <c r="AF5" s="18">
        <f>'SEP 01'!AF5</f>
        <v>7956.8699999451637</v>
      </c>
      <c r="AG5" s="18">
        <f>'SEP 01'!AG5</f>
        <v>31973.965976479645</v>
      </c>
      <c r="AH5" s="18">
        <f>'SEP 01'!AH5</f>
        <v>282242.31999999727</v>
      </c>
      <c r="AI5" s="18">
        <f>'SEP 01'!AI5</f>
        <v>1134165.3611111888</v>
      </c>
      <c r="AJ5" s="18">
        <f>'SEP 01'!AJ5</f>
        <v>675895.70999999822</v>
      </c>
      <c r="AK5" s="18">
        <f>'SEP 01'!AK5</f>
        <v>2716026.0800210927</v>
      </c>
      <c r="AL5" s="18">
        <f>'SEP 01'!AL5</f>
        <v>26171999.376865242</v>
      </c>
      <c r="AM5" s="18">
        <f>'SEP 01'!AM5</f>
        <v>97180133.138515338</v>
      </c>
      <c r="AN5" s="18">
        <f>'SEP 01'!AN5</f>
        <v>4862032.3394600004</v>
      </c>
      <c r="AO5" s="18">
        <f>'SEP 01'!AO5</f>
        <v>919690.74515144003</v>
      </c>
      <c r="AP5" s="18">
        <f>'SEP 01'!AP5</f>
        <v>10424918.118880145</v>
      </c>
      <c r="AQ5" s="18">
        <f>'SEP 01'!AQ5</f>
        <v>1218366.3245821637</v>
      </c>
      <c r="AR5" s="18">
        <f>'SEP 01'!AR5</f>
        <v>33467.106463993005</v>
      </c>
      <c r="AS5" s="18">
        <f>'SEP 01'!AS5</f>
        <v>6.3419079996137473</v>
      </c>
      <c r="AT5" s="18">
        <f>'SEP 01'!AT5</f>
        <v>11.326432002509915</v>
      </c>
      <c r="AU5" s="18">
        <f>'SEP 01'!AU5</f>
        <v>70852.565203997277</v>
      </c>
      <c r="AV5" s="18">
        <f>'SEP 01'!AV5</f>
        <v>529097.77060280275</v>
      </c>
      <c r="AW5" s="18">
        <f>'SEP 01'!AW5</f>
        <v>87470.533549996806</v>
      </c>
      <c r="AX5" s="18">
        <f>'SEP 01'!AX5</f>
        <v>1064.5961240010877</v>
      </c>
      <c r="AY5" s="18">
        <f>'SEP 01'!AY5</f>
        <v>181309.04110000003</v>
      </c>
      <c r="AZ5" s="18">
        <f>'SEP 01'!AZ5</f>
        <v>23756.924137323233</v>
      </c>
      <c r="BA5" s="18">
        <f>'SEP 01'!BA5</f>
        <v>205865.95172400694</v>
      </c>
      <c r="BB5" s="18">
        <f>'SEP 01'!BB5</f>
        <v>71290.18621999117</v>
      </c>
      <c r="BC5" s="18">
        <f>'SEP 01'!BC5</f>
        <v>271948.65584799863</v>
      </c>
      <c r="BD5" s="18">
        <f>'SEP 01'!BD5</f>
        <v>17375.68359998985</v>
      </c>
      <c r="BE5" s="18">
        <f>'SEP 01'!BE5</f>
        <v>256616.86652368054</v>
      </c>
      <c r="BF5" s="18">
        <f>'SEP 01'!BF5</f>
        <v>294814.03831035987</v>
      </c>
      <c r="BG5" s="18">
        <f>'SEP 01'!BG5</f>
        <v>35110.408018882757</v>
      </c>
      <c r="BH5" s="18">
        <f>'SEP 01'!BH5</f>
        <v>24605.160800002101</v>
      </c>
      <c r="BI5" s="18">
        <f>'SEP 01'!BI5</f>
        <v>207727.90101</v>
      </c>
      <c r="BJ5" s="18">
        <f>'SEP 01'!BJ5</f>
        <v>154010.6032805602</v>
      </c>
      <c r="BK5" s="18">
        <f>'SEP 01'!BK5</f>
        <v>4837922.1225280128</v>
      </c>
      <c r="BL5" s="18">
        <f>'SEP 01'!BL5</f>
        <v>114992.77830244607</v>
      </c>
      <c r="BM5" s="18">
        <f>'SEP 01'!BM5</f>
        <v>1090174.2629771638</v>
      </c>
      <c r="BN5" s="18">
        <f>'SEP 01'!BN5</f>
        <v>1242100.1789373821</v>
      </c>
      <c r="BO5" s="18">
        <f>'SEP 01'!BO5</f>
        <v>3.4691202304202307E-3</v>
      </c>
      <c r="BP5" s="18">
        <f>'SEP 01'!BP5</f>
        <v>260.70849932906538</v>
      </c>
      <c r="BQ5" s="18">
        <f>'SEP 01'!BQ5</f>
        <v>4.0128798844989433E-3</v>
      </c>
      <c r="BR5" s="18">
        <f>'SEP 01'!BR5</f>
        <v>358178.96600000339</v>
      </c>
      <c r="BS5" s="18">
        <f>'SEP 01'!BS5</f>
        <v>1439553.5139906891</v>
      </c>
      <c r="BT5" s="18">
        <f>'SEP 01'!BT5</f>
        <v>231922.66493201788</v>
      </c>
      <c r="BU5" s="18">
        <f>'SEP 01'!BU5</f>
        <v>932118.04822278419</v>
      </c>
      <c r="BV5" s="18">
        <f>'SEP 01'!BV5</f>
        <v>9460.5788599999996</v>
      </c>
      <c r="BW5" s="18">
        <f>'SEP 01'!BW5</f>
        <v>111247.72</v>
      </c>
      <c r="BX5" s="18">
        <f>'SEP 01'!BX5</f>
        <v>22663.665389999998</v>
      </c>
      <c r="BY5" s="18">
        <f>'SEP 01'!BY5</f>
        <v>1110929.4579400006</v>
      </c>
      <c r="BZ5" s="18">
        <f>'SEP 01'!BZ5</f>
        <v>-12760.020860011689</v>
      </c>
      <c r="CA5" s="18">
        <f>'SEP 01'!CA5</f>
        <v>7114722.5355599923</v>
      </c>
      <c r="CB5" s="18">
        <f>'SEP 01'!CB5</f>
        <v>19818.56624</v>
      </c>
      <c r="CC5" s="18">
        <f>'SEP 01'!CC5</f>
        <v>1067885.7919999999</v>
      </c>
      <c r="CD5" s="18">
        <f>'SEP 01'!CD5</f>
        <v>0</v>
      </c>
      <c r="CE5" s="18">
        <f>'SEP 01'!CE5</f>
        <v>23629.152999999995</v>
      </c>
      <c r="CF5" s="18">
        <f>'SEP 01'!CF5</f>
        <v>719967.15159000002</v>
      </c>
      <c r="CG5" s="18">
        <f>'SEP 01'!CG5</f>
        <v>441343.13250000001</v>
      </c>
      <c r="CH5" s="18">
        <f>'SEP 01'!CH5</f>
        <v>2.9318200000000001</v>
      </c>
      <c r="CI5" s="18">
        <f>'SEP 01'!CI5</f>
        <v>831592.30421999923</v>
      </c>
      <c r="CJ5" s="18">
        <f>'SEP 01'!CJ5</f>
        <v>528219.12153999973</v>
      </c>
      <c r="CK5" s="18">
        <f>'SEP 01'!CK5</f>
        <v>0</v>
      </c>
      <c r="CL5" s="18">
        <f>'SEP 01'!CL5</f>
        <v>0</v>
      </c>
      <c r="CM5" s="18">
        <f>'SEP 01'!CM5</f>
        <v>79545.207070000004</v>
      </c>
      <c r="CN5" s="18">
        <f>'SEP 01'!CN5</f>
        <v>647657.33605000004</v>
      </c>
      <c r="CO5" s="18">
        <f>'SEP 01'!CO5</f>
        <v>736464.8368199995</v>
      </c>
      <c r="CP5" s="18">
        <f>'SEP 01'!CP5</f>
        <v>9152723.6727600005</v>
      </c>
      <c r="CQ5" s="18">
        <f>'SEP 01'!CQ5</f>
        <v>377715.39094000001</v>
      </c>
      <c r="CR5" s="18">
        <f>'SEP 01'!CR5</f>
        <v>903266.84160000039</v>
      </c>
      <c r="CS5" s="18">
        <f>'SEP 01'!CS5</f>
        <v>5013.4199999999992</v>
      </c>
      <c r="CT5" s="18">
        <f>'SEP 01'!CT5</f>
        <v>20149.387893799994</v>
      </c>
      <c r="CU5" s="18">
        <f>'SEP 01'!CU5</f>
        <v>5013.4199999999992</v>
      </c>
      <c r="CV5" s="18">
        <f>'SEP 01'!CV5</f>
        <v>20149.387893799994</v>
      </c>
      <c r="CW5" s="18">
        <f>D5+E5+F5+G5+H5+I5+J5+K5+L5+M5+O5+Q5+S5+U5+W5+Y5+AA5+AC5+AE5+AG5+AI5+AK5+AL5+AM5+AQ5+AR5+AS5+AT5+AU5+AV5+AW5+AX5+AY5+AZ5+BA5+BB5+BC5+BD5+BE5+BF5+BG5+BH5+BI5+BJ5+BK5+BS5+BU5+BV5+BW5+BX5+BY5+BZ5+CA5+CB5+CC5+CD5+CE5+CF5+CG5+CH5+CI5+CJ5+BL5+BM5+BN5+BO5+BP5+BQ5+CK5+CL5+CM5+CN5+CO5+CP5+CQ5+AN5+AO5+AP5+CR5+CT5+CV5</f>
        <v>365294386.67946923</v>
      </c>
    </row>
    <row r="6" spans="1:101" s="20" customFormat="1" x14ac:dyDescent="0.3">
      <c r="A6" s="173"/>
      <c r="B6" s="19"/>
      <c r="C6" s="19" t="s">
        <v>91</v>
      </c>
      <c r="D6" s="177">
        <v>-730837.84518000006</v>
      </c>
      <c r="E6" s="177">
        <v>232136506.71938998</v>
      </c>
      <c r="F6" s="177">
        <v>39232881.520840019</v>
      </c>
      <c r="G6" s="177">
        <v>0</v>
      </c>
      <c r="H6" s="177">
        <v>0</v>
      </c>
      <c r="I6" s="177">
        <v>0</v>
      </c>
      <c r="J6" s="177">
        <v>0</v>
      </c>
      <c r="K6" s="177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  <c r="U6" s="177">
        <v>0</v>
      </c>
      <c r="V6" s="177">
        <v>0</v>
      </c>
      <c r="W6" s="177">
        <v>0</v>
      </c>
      <c r="X6" s="177">
        <v>0</v>
      </c>
      <c r="Y6" s="177">
        <v>0</v>
      </c>
      <c r="Z6" s="177">
        <v>0</v>
      </c>
      <c r="AA6" s="177">
        <v>0</v>
      </c>
      <c r="AB6" s="177">
        <v>0</v>
      </c>
      <c r="AC6" s="177">
        <v>0</v>
      </c>
      <c r="AD6" s="177">
        <v>0</v>
      </c>
      <c r="AE6" s="177">
        <v>0</v>
      </c>
      <c r="AF6" s="177">
        <v>0</v>
      </c>
      <c r="AG6" s="177">
        <v>0</v>
      </c>
      <c r="AH6" s="177">
        <v>0</v>
      </c>
      <c r="AI6" s="177">
        <v>0</v>
      </c>
      <c r="AJ6" s="177">
        <v>0</v>
      </c>
      <c r="AK6" s="177">
        <v>0</v>
      </c>
      <c r="AL6" s="177">
        <v>-10665684.71270084</v>
      </c>
      <c r="AM6" s="177">
        <v>-928226.13350199722</v>
      </c>
      <c r="AN6" s="177">
        <v>-208034.68499999991</v>
      </c>
      <c r="AO6" s="177">
        <v>-52337.295356000017</v>
      </c>
      <c r="AP6" s="177">
        <v>349162.95006836019</v>
      </c>
      <c r="AQ6" s="177">
        <v>516821.81537599931</v>
      </c>
      <c r="AR6" s="177">
        <v>0</v>
      </c>
      <c r="AS6" s="177">
        <v>0</v>
      </c>
      <c r="AT6" s="177">
        <v>0</v>
      </c>
      <c r="AU6" s="177">
        <v>0</v>
      </c>
      <c r="AV6" s="177">
        <v>0</v>
      </c>
      <c r="AW6" s="177">
        <v>0</v>
      </c>
      <c r="AX6" s="177">
        <v>0</v>
      </c>
      <c r="AY6" s="177">
        <v>0</v>
      </c>
      <c r="AZ6" s="177">
        <v>0</v>
      </c>
      <c r="BA6" s="177">
        <v>0</v>
      </c>
      <c r="BB6" s="177">
        <v>0</v>
      </c>
      <c r="BC6" s="177">
        <v>0</v>
      </c>
      <c r="BD6" s="177">
        <v>0</v>
      </c>
      <c r="BE6" s="177">
        <v>0</v>
      </c>
      <c r="BF6" s="177">
        <v>0</v>
      </c>
      <c r="BG6" s="177">
        <v>0</v>
      </c>
      <c r="BH6" s="177">
        <v>0</v>
      </c>
      <c r="BI6" s="177">
        <v>0</v>
      </c>
      <c r="BJ6" s="177">
        <v>0</v>
      </c>
      <c r="BK6" s="177">
        <v>0</v>
      </c>
      <c r="BL6" s="177">
        <v>0</v>
      </c>
      <c r="BM6" s="177">
        <v>0</v>
      </c>
      <c r="BN6" s="177">
        <v>0</v>
      </c>
      <c r="BO6" s="177">
        <v>0</v>
      </c>
      <c r="BP6" s="177">
        <v>0</v>
      </c>
      <c r="BQ6" s="177">
        <v>0</v>
      </c>
      <c r="BR6" s="177">
        <v>-749312.97</v>
      </c>
      <c r="BS6" s="177">
        <v>-2961760.6768771997</v>
      </c>
      <c r="BT6" s="177">
        <v>-6382873.2800000003</v>
      </c>
      <c r="BU6" s="177">
        <v>-24967580.196432702</v>
      </c>
      <c r="BV6" s="177">
        <v>-470.35499999999956</v>
      </c>
      <c r="BW6" s="177">
        <v>91101.192999999999</v>
      </c>
      <c r="BX6" s="177">
        <v>-3.8999999742372893E-4</v>
      </c>
      <c r="BY6" s="177">
        <v>-560641.7159999999</v>
      </c>
      <c r="BZ6" s="177">
        <v>-63555245.268999986</v>
      </c>
      <c r="CA6" s="177">
        <v>-48501149.634769998</v>
      </c>
      <c r="CB6" s="177">
        <v>299.99975999999879</v>
      </c>
      <c r="CC6" s="177">
        <v>48781.427000000142</v>
      </c>
      <c r="CD6" s="177">
        <v>0</v>
      </c>
      <c r="CE6" s="177">
        <v>-5629.1500000000015</v>
      </c>
      <c r="CF6" s="177">
        <v>834637.42900999996</v>
      </c>
      <c r="CG6" s="177">
        <v>5159.939000000013</v>
      </c>
      <c r="CH6" s="177">
        <v>0</v>
      </c>
      <c r="CI6" s="177">
        <v>355823.19786095992</v>
      </c>
      <c r="CJ6" s="177">
        <v>637404.57629</v>
      </c>
      <c r="CK6" s="177">
        <v>0</v>
      </c>
      <c r="CL6" s="177">
        <v>0</v>
      </c>
      <c r="CM6" s="177">
        <v>0</v>
      </c>
      <c r="CN6" s="177">
        <v>0</v>
      </c>
      <c r="CO6" s="177">
        <v>5.9949399999999997</v>
      </c>
      <c r="CP6" s="177">
        <v>0</v>
      </c>
      <c r="CQ6" s="177">
        <v>0</v>
      </c>
      <c r="CR6" s="177">
        <v>-12638.47524</v>
      </c>
      <c r="CS6" s="177">
        <v>0.94</v>
      </c>
      <c r="CT6" s="177">
        <v>-586.92278739999995</v>
      </c>
      <c r="CU6" s="177">
        <v>0.94</v>
      </c>
      <c r="CV6" s="177">
        <v>-586.92278739999995</v>
      </c>
      <c r="CW6" s="19"/>
    </row>
    <row r="7" spans="1:101" s="16" customFormat="1" x14ac:dyDescent="0.3">
      <c r="A7" s="173"/>
      <c r="B7" s="21"/>
      <c r="C7" s="21" t="s">
        <v>92</v>
      </c>
      <c r="D7" s="19"/>
      <c r="E7" s="19"/>
      <c r="F7" s="19"/>
      <c r="G7" s="22"/>
      <c r="H7" s="22"/>
      <c r="I7" s="22"/>
      <c r="J7" s="22"/>
      <c r="K7" s="22"/>
      <c r="L7" s="19"/>
      <c r="M7" s="1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3"/>
      <c r="AI7" s="23"/>
      <c r="AJ7" s="23"/>
      <c r="AK7" s="23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</row>
    <row r="8" spans="1:101" s="16" customFormat="1" x14ac:dyDescent="0.3">
      <c r="A8" s="174"/>
      <c r="B8" s="17"/>
      <c r="C8" s="17" t="s">
        <v>93</v>
      </c>
      <c r="D8" s="18">
        <f t="shared" ref="D8:BS8" si="0">D5+D6+D7</f>
        <v>-266216.22972005495</v>
      </c>
      <c r="E8" s="18">
        <f t="shared" si="0"/>
        <v>239339171.92242619</v>
      </c>
      <c r="F8" s="18">
        <f t="shared" si="0"/>
        <v>53624765.644284397</v>
      </c>
      <c r="G8" s="18">
        <f t="shared" si="0"/>
        <v>0</v>
      </c>
      <c r="H8" s="18">
        <f t="shared" si="0"/>
        <v>0</v>
      </c>
      <c r="I8" s="18">
        <f t="shared" si="0"/>
        <v>74942.279964578338</v>
      </c>
      <c r="J8" s="18">
        <f t="shared" si="0"/>
        <v>0</v>
      </c>
      <c r="K8" s="18">
        <f t="shared" si="0"/>
        <v>63079.012112142977</v>
      </c>
      <c r="L8" s="18">
        <f t="shared" si="0"/>
        <v>226422.85016291589</v>
      </c>
      <c r="M8" s="18">
        <f t="shared" si="0"/>
        <v>102258.18094473705</v>
      </c>
      <c r="N8" s="18">
        <f t="shared" si="0"/>
        <v>120822.5199999999</v>
      </c>
      <c r="O8" s="18">
        <f t="shared" si="0"/>
        <v>485514.42259319959</v>
      </c>
      <c r="P8" s="18">
        <f t="shared" si="0"/>
        <v>199831.79346686602</v>
      </c>
      <c r="Q8" s="18">
        <f t="shared" si="0"/>
        <v>803006.077185189</v>
      </c>
      <c r="R8" s="18">
        <f t="shared" si="0"/>
        <v>497759.29450999975</v>
      </c>
      <c r="S8" s="18">
        <f t="shared" si="0"/>
        <v>2000200.9266519279</v>
      </c>
      <c r="T8" s="18">
        <f t="shared" si="0"/>
        <v>56516.94</v>
      </c>
      <c r="U8" s="18">
        <f t="shared" si="0"/>
        <v>227108.23686539999</v>
      </c>
      <c r="V8" s="18">
        <f t="shared" si="0"/>
        <v>38030203.239999995</v>
      </c>
      <c r="W8" s="18">
        <f t="shared" si="0"/>
        <v>152820949.00164837</v>
      </c>
      <c r="X8" s="18">
        <f t="shared" si="0"/>
        <v>1401713.3900000001</v>
      </c>
      <c r="Y8" s="18">
        <f t="shared" si="0"/>
        <v>5632659.1035099002</v>
      </c>
      <c r="Z8" s="18">
        <f t="shared" si="0"/>
        <v>9662.5274983807467</v>
      </c>
      <c r="AA8" s="18">
        <f t="shared" si="0"/>
        <v>38827.997124768175</v>
      </c>
      <c r="AB8" s="18">
        <f t="shared" si="0"/>
        <v>7542.7499999967404</v>
      </c>
      <c r="AC8" s="18">
        <f t="shared" si="0"/>
        <v>30309.862027486903</v>
      </c>
      <c r="AD8" s="18">
        <f t="shared" si="0"/>
        <v>5155</v>
      </c>
      <c r="AE8" s="18">
        <f t="shared" si="0"/>
        <v>20714.903549999999</v>
      </c>
      <c r="AF8" s="18">
        <f t="shared" si="0"/>
        <v>7956.8699999451637</v>
      </c>
      <c r="AG8" s="18">
        <f t="shared" si="0"/>
        <v>31973.965976479645</v>
      </c>
      <c r="AH8" s="18">
        <f t="shared" si="0"/>
        <v>282242.31999999727</v>
      </c>
      <c r="AI8" s="18">
        <f t="shared" si="0"/>
        <v>1134165.3611111888</v>
      </c>
      <c r="AJ8" s="18">
        <f t="shared" si="0"/>
        <v>675895.70999999822</v>
      </c>
      <c r="AK8" s="18">
        <f t="shared" si="0"/>
        <v>2716026.0800210927</v>
      </c>
      <c r="AL8" s="18">
        <f t="shared" si="0"/>
        <v>15506314.664164402</v>
      </c>
      <c r="AM8" s="18">
        <f t="shared" si="0"/>
        <v>96251907.005013347</v>
      </c>
      <c r="AN8" s="18">
        <f t="shared" si="0"/>
        <v>4653997.6544600008</v>
      </c>
      <c r="AO8" s="18">
        <f t="shared" si="0"/>
        <v>867353.44979544007</v>
      </c>
      <c r="AP8" s="18">
        <f t="shared" si="0"/>
        <v>10774081.068948505</v>
      </c>
      <c r="AQ8" s="18">
        <f t="shared" si="0"/>
        <v>1735188.139958163</v>
      </c>
      <c r="AR8" s="18">
        <f t="shared" si="0"/>
        <v>33467.106463993005</v>
      </c>
      <c r="AS8" s="18">
        <f t="shared" si="0"/>
        <v>6.3419079996137473</v>
      </c>
      <c r="AT8" s="18">
        <f t="shared" si="0"/>
        <v>11.326432002509915</v>
      </c>
      <c r="AU8" s="18">
        <f t="shared" si="0"/>
        <v>70852.565203997277</v>
      </c>
      <c r="AV8" s="18">
        <f t="shared" si="0"/>
        <v>529097.77060280275</v>
      </c>
      <c r="AW8" s="18">
        <f t="shared" si="0"/>
        <v>87470.533549996806</v>
      </c>
      <c r="AX8" s="18">
        <f t="shared" si="0"/>
        <v>1064.5961240010877</v>
      </c>
      <c r="AY8" s="18">
        <f t="shared" si="0"/>
        <v>181309.04110000003</v>
      </c>
      <c r="AZ8" s="18">
        <f t="shared" si="0"/>
        <v>23756.924137323233</v>
      </c>
      <c r="BA8" s="18">
        <f t="shared" si="0"/>
        <v>205865.95172400694</v>
      </c>
      <c r="BB8" s="18">
        <f t="shared" si="0"/>
        <v>71290.18621999117</v>
      </c>
      <c r="BC8" s="18">
        <f t="shared" si="0"/>
        <v>271948.65584799863</v>
      </c>
      <c r="BD8" s="18">
        <f t="shared" si="0"/>
        <v>17375.68359998985</v>
      </c>
      <c r="BE8" s="18">
        <f t="shared" si="0"/>
        <v>256616.86652368054</v>
      </c>
      <c r="BF8" s="18">
        <f t="shared" si="0"/>
        <v>294814.03831035987</v>
      </c>
      <c r="BG8" s="18">
        <f t="shared" si="0"/>
        <v>35110.408018882757</v>
      </c>
      <c r="BH8" s="18">
        <f t="shared" si="0"/>
        <v>24605.160800002101</v>
      </c>
      <c r="BI8" s="18">
        <f t="shared" si="0"/>
        <v>207727.90101</v>
      </c>
      <c r="BJ8" s="18">
        <f t="shared" si="0"/>
        <v>154010.6032805602</v>
      </c>
      <c r="BK8" s="18">
        <f t="shared" si="0"/>
        <v>4837922.1225280128</v>
      </c>
      <c r="BL8" s="18">
        <f t="shared" si="0"/>
        <v>114992.77830244607</v>
      </c>
      <c r="BM8" s="18">
        <f t="shared" si="0"/>
        <v>1090174.2629771638</v>
      </c>
      <c r="BN8" s="18">
        <f t="shared" si="0"/>
        <v>1242100.1789373821</v>
      </c>
      <c r="BO8" s="18">
        <f t="shared" si="0"/>
        <v>3.4691202304202307E-3</v>
      </c>
      <c r="BP8" s="18">
        <f t="shared" si="0"/>
        <v>260.70849932906538</v>
      </c>
      <c r="BQ8" s="18">
        <f t="shared" si="0"/>
        <v>4.0128798844989433E-3</v>
      </c>
      <c r="BR8" s="18">
        <f t="shared" si="0"/>
        <v>-391134.00399999658</v>
      </c>
      <c r="BS8" s="18">
        <f t="shared" si="0"/>
        <v>-1522207.1628865106</v>
      </c>
      <c r="BT8" s="18">
        <f t="shared" ref="BT8:CV8" si="1">BT5+BT6+BT7</f>
        <v>-6150950.6150679821</v>
      </c>
      <c r="BU8" s="18">
        <f t="shared" si="1"/>
        <v>-24035462.148209918</v>
      </c>
      <c r="BV8" s="18">
        <f t="shared" si="1"/>
        <v>8990.2238600000001</v>
      </c>
      <c r="BW8" s="18">
        <f t="shared" si="1"/>
        <v>202348.913</v>
      </c>
      <c r="BX8" s="18">
        <f t="shared" si="1"/>
        <v>22663.665000000001</v>
      </c>
      <c r="BY8" s="18">
        <f>+BY5+BY6+BY7:BZ7</f>
        <v>550287.74194000068</v>
      </c>
      <c r="BZ8" s="18">
        <f t="shared" si="1"/>
        <v>-63568005.289859995</v>
      </c>
      <c r="CA8" s="18">
        <f t="shared" si="1"/>
        <v>-41386427.099210009</v>
      </c>
      <c r="CB8" s="18">
        <f t="shared" si="1"/>
        <v>20118.565999999999</v>
      </c>
      <c r="CC8" s="18">
        <f t="shared" si="1"/>
        <v>1116667.219</v>
      </c>
      <c r="CD8" s="18">
        <f t="shared" si="1"/>
        <v>0</v>
      </c>
      <c r="CE8" s="18">
        <f t="shared" si="1"/>
        <v>18000.002999999993</v>
      </c>
      <c r="CF8" s="18">
        <f t="shared" si="1"/>
        <v>1554604.5806</v>
      </c>
      <c r="CG8" s="18">
        <f t="shared" si="1"/>
        <v>446503.07150000002</v>
      </c>
      <c r="CH8" s="18">
        <f t="shared" si="1"/>
        <v>2.9318200000000001</v>
      </c>
      <c r="CI8" s="18">
        <f t="shared" si="1"/>
        <v>1187415.5020809593</v>
      </c>
      <c r="CJ8" s="18">
        <f t="shared" si="1"/>
        <v>1165623.6978299997</v>
      </c>
      <c r="CK8" s="18">
        <f t="shared" si="1"/>
        <v>0</v>
      </c>
      <c r="CL8" s="18">
        <f t="shared" si="1"/>
        <v>0</v>
      </c>
      <c r="CM8" s="18">
        <f t="shared" si="1"/>
        <v>79545.207070000004</v>
      </c>
      <c r="CN8" s="18">
        <f t="shared" si="1"/>
        <v>647657.33605000004</v>
      </c>
      <c r="CO8" s="18">
        <f t="shared" si="1"/>
        <v>736470.83175999951</v>
      </c>
      <c r="CP8" s="18">
        <f t="shared" si="1"/>
        <v>9152723.6727600005</v>
      </c>
      <c r="CQ8" s="18">
        <f t="shared" si="1"/>
        <v>377715.39094000001</v>
      </c>
      <c r="CR8" s="18">
        <f t="shared" si="1"/>
        <v>890628.36636000033</v>
      </c>
      <c r="CS8" s="18">
        <f t="shared" si="1"/>
        <v>5014.3599999999988</v>
      </c>
      <c r="CT8" s="18">
        <f t="shared" si="1"/>
        <v>19562.465106399995</v>
      </c>
      <c r="CU8" s="18">
        <f t="shared" si="1"/>
        <v>5014.3599999999988</v>
      </c>
      <c r="CV8" s="18">
        <f t="shared" si="1"/>
        <v>19562.465106399995</v>
      </c>
      <c r="CW8" s="18">
        <f>D8+E8+F8+G8+H8+I8+J8+K8+L8+M8+O8+Q8+S8+U8+W8+Y8+AA8+AC8+AE8+AG8+AI8+AK8+AL8+AM8+AQ8+AR8+AS8+AT8+AU8+AV8+AW8+AX8+AY8+AZ8+BA8+BB8+BC8+BD8+BE8+BF8+BG8+BH8+BI8+BJ8+BK8+BS8+BU8+BV8+BW8+BX8+BY8+BZ8+CA8+CB8+CC8+CD8+CE8+CF8+CG8+CH8+CI8+CJ8+BL8+BM8+BN8+BO8+BP8+BQ8+CK8+CL8+CM8+CN8+CO8+CP8+CQ8+AN8+AO8+AP8+CR8+CT8+CV8</f>
        <v>486351563.4509812</v>
      </c>
    </row>
    <row r="9" spans="1:101" ht="15" customHeight="1" x14ac:dyDescent="0.3">
      <c r="A9" s="166" t="s">
        <v>94</v>
      </c>
      <c r="B9" s="24" t="s">
        <v>95</v>
      </c>
      <c r="C9" s="25" t="s">
        <v>96</v>
      </c>
      <c r="D9" s="26"/>
      <c r="E9" s="26"/>
      <c r="F9" s="26"/>
      <c r="G9" s="26"/>
      <c r="H9" s="26"/>
      <c r="I9" s="26"/>
      <c r="J9" s="26"/>
      <c r="K9" s="26"/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>
        <f>D9+E9+F9+G9+H9+I9+J9+K9+L9+M9+O9+Q9+S9+U9+W9+Y9+AA9+AC9+AE9+AG9+AI9+AK9+AL9+AM9+AQ9+AR9+AS9+AT9+AU9+AV9+AW9+AX9+AY9+AZ9+BA9+BB9+BC9+BD9+BE9+BF9+BG9+BH9+BI9+BJ9+BK9+BS9+BU9+BV9+BW9+BX9+BY9+BZ9+CA9+CB9+CC9+CD9+CE9+CF9+CG9+CH9+CI9+CJ9+BL9+BM9+BN9+BO9+BP9+BQ9+CK9+CL9+CM9+CN9+CO9+CP9+CQ9+AN9+AO9+AP9+CR9+CT9+CV9</f>
        <v>0</v>
      </c>
    </row>
    <row r="10" spans="1:101" x14ac:dyDescent="0.3">
      <c r="A10" s="166"/>
      <c r="B10" s="24" t="s">
        <v>97</v>
      </c>
      <c r="C10" s="25" t="s">
        <v>96</v>
      </c>
      <c r="D10" s="26"/>
      <c r="E10" s="26"/>
      <c r="F10" s="26"/>
      <c r="G10" s="26"/>
      <c r="H10" s="26"/>
      <c r="I10" s="26"/>
      <c r="J10" s="26"/>
      <c r="K10" s="26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>
        <f t="shared" ref="CW10:CW55" si="2">D10+E10+F10+G10+H10+I10+J10+K10+L10+M10+O10+Q10+S10+U10+W10+Y10+AA10+AC10+AE10+AG10+AI10+AK10+AL10+AM10+AQ10+AR10+AS10+AT10+AU10+AV10+AW10+AX10+AY10+AZ10+BA10+BB10+BC10+BD10+BE10+BF10+BG10+BH10+BI10+BJ10+BK10+BS10+BU10+BV10+BW10+BX10+BY10+BZ10+CA10+CB10+CC10+CD10+CE10+CF10+CG10+CH10+CI10+CJ10+BL10+BM10+BN10+BO10+BP10+BQ10+CK10+CL10+CM10+CN10+CO10+CP10+CQ10+AN10+AO10+AP10+CR10+CT10+CV10</f>
        <v>0</v>
      </c>
    </row>
    <row r="11" spans="1:101" x14ac:dyDescent="0.3">
      <c r="A11" s="166"/>
      <c r="B11" s="24" t="s">
        <v>95</v>
      </c>
      <c r="C11" s="25" t="s">
        <v>98</v>
      </c>
      <c r="D11" s="26"/>
      <c r="E11" s="31">
        <v>479.30174</v>
      </c>
      <c r="F11" s="26"/>
      <c r="G11" s="26"/>
      <c r="H11" s="26"/>
      <c r="I11" s="26"/>
      <c r="J11" s="27"/>
      <c r="K11" s="31">
        <v>64202.954550000002</v>
      </c>
      <c r="L11" s="178">
        <v>21116415.153070003</v>
      </c>
      <c r="M11" s="31">
        <v>3066796.3431400005</v>
      </c>
      <c r="N11" s="26"/>
      <c r="O11" s="26"/>
      <c r="P11" s="179">
        <v>6030912.5899999999</v>
      </c>
      <c r="Q11" s="31">
        <v>23474479.864965297</v>
      </c>
      <c r="R11" s="31">
        <v>12805</v>
      </c>
      <c r="S11" s="31">
        <v>49527.125849999997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31">
        <v>250871.25300000003</v>
      </c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>
        <f t="shared" si="2"/>
        <v>48022771.9963153</v>
      </c>
    </row>
    <row r="12" spans="1:101" x14ac:dyDescent="0.3">
      <c r="A12" s="166"/>
      <c r="B12" s="24" t="s">
        <v>95</v>
      </c>
      <c r="C12" s="25" t="s">
        <v>99</v>
      </c>
      <c r="D12" s="26"/>
      <c r="E12" s="26"/>
      <c r="F12" s="26"/>
      <c r="G12" s="26"/>
      <c r="H12" s="26"/>
      <c r="I12" s="26"/>
      <c r="J12" s="26"/>
      <c r="K12" s="31">
        <v>41030.16143</v>
      </c>
      <c r="L12" s="178">
        <v>3330683.1508900002</v>
      </c>
      <c r="M12" s="31">
        <v>275090.20431</v>
      </c>
      <c r="N12" s="26"/>
      <c r="O12" s="26"/>
      <c r="P12" s="31">
        <v>40000000</v>
      </c>
      <c r="Q12" s="31">
        <v>156624600</v>
      </c>
      <c r="R12" s="31">
        <v>900000</v>
      </c>
      <c r="S12" s="31">
        <v>3460023</v>
      </c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>
        <f>D12+E12+F12+G12+H12+I12+J12+K12+L12+M12+O12+Q12+S12+U12+W12+Y12+AA12+AC12+AE12+AG12+AI12+AK12+AL12+AM12+AQ12+AR12+AS12+AT12+AU12+AV12+AW12+AX12+AY12+AZ12+BA12+BB12+BC12+BD12+BE12+BF12+BG12+BH12+BI12+BJ12+BK12+BS12+BU12+BV12+BW12+BX12+BY12+BZ12+CA12+CB12+CC12+CD12+CE12+CF12+CG12+CH12+CI12+CJ12+BL12+BM12+BN12+BO12+BP12+BQ12+CK12+CL12+CM12+CN12+CO12+CP12+CQ12+AN12+AO12+AP12+CR12+CT12+CV12</f>
        <v>163731426.51662999</v>
      </c>
    </row>
    <row r="13" spans="1:101" x14ac:dyDescent="0.3">
      <c r="A13" s="166"/>
      <c r="B13" s="24" t="s">
        <v>97</v>
      </c>
      <c r="C13" s="25" t="s">
        <v>100</v>
      </c>
      <c r="D13" s="26"/>
      <c r="E13" s="26"/>
      <c r="F13" s="26"/>
      <c r="G13" s="26"/>
      <c r="H13" s="26"/>
      <c r="I13" s="26"/>
      <c r="J13" s="26"/>
      <c r="K13" s="26"/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>
        <f t="shared" si="2"/>
        <v>0</v>
      </c>
    </row>
    <row r="14" spans="1:101" x14ac:dyDescent="0.3">
      <c r="A14" s="166"/>
      <c r="B14" s="24" t="s">
        <v>95</v>
      </c>
      <c r="C14" s="25" t="s">
        <v>101</v>
      </c>
      <c r="D14" s="2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31">
        <v>1624303.6192099999</v>
      </c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>
        <f t="shared" si="2"/>
        <v>1624303.6192099999</v>
      </c>
    </row>
    <row r="15" spans="1:101" x14ac:dyDescent="0.3">
      <c r="A15" s="166"/>
      <c r="B15" s="24" t="s">
        <v>95</v>
      </c>
      <c r="C15" s="25" t="s">
        <v>102</v>
      </c>
      <c r="D15" s="26"/>
      <c r="E15" s="26"/>
      <c r="F15" s="26"/>
      <c r="G15" s="26"/>
      <c r="H15" s="26"/>
      <c r="I15" s="26"/>
      <c r="J15" s="26"/>
      <c r="K15" s="26"/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>
        <f t="shared" si="2"/>
        <v>0</v>
      </c>
    </row>
    <row r="16" spans="1:101" x14ac:dyDescent="0.3">
      <c r="A16" s="166"/>
      <c r="B16" s="24" t="s">
        <v>97</v>
      </c>
      <c r="C16" s="25" t="s">
        <v>103</v>
      </c>
      <c r="D16" s="26"/>
      <c r="E16" s="26"/>
      <c r="F16" s="26"/>
      <c r="G16" s="26"/>
      <c r="H16" s="26"/>
      <c r="I16" s="26"/>
      <c r="J16" s="26"/>
      <c r="K16" s="26"/>
      <c r="L16" s="178">
        <v>-115000000</v>
      </c>
      <c r="M16" s="26"/>
      <c r="N16" s="26"/>
      <c r="O16" s="26"/>
      <c r="P16" s="26"/>
      <c r="Q16" s="29"/>
      <c r="R16" s="3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31">
        <v>-300000</v>
      </c>
      <c r="AP16" s="26"/>
      <c r="AQ16" s="31">
        <v>-13264.199000000001</v>
      </c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>
        <f t="shared" si="2"/>
        <v>-115313264.199</v>
      </c>
    </row>
    <row r="17" spans="1:101" x14ac:dyDescent="0.3">
      <c r="A17" s="166"/>
      <c r="B17" s="24" t="s">
        <v>97</v>
      </c>
      <c r="C17" s="25" t="s">
        <v>104</v>
      </c>
      <c r="D17" s="26"/>
      <c r="E17" s="26"/>
      <c r="F17" s="26"/>
      <c r="G17" s="26"/>
      <c r="H17" s="26"/>
      <c r="I17" s="26"/>
      <c r="J17" s="26"/>
      <c r="K17" s="26"/>
      <c r="L17" s="178">
        <v>-5324576.6663199998</v>
      </c>
      <c r="M17" s="178">
        <v>-1105725</v>
      </c>
      <c r="N17" s="26"/>
      <c r="O17" s="26"/>
      <c r="P17" s="26"/>
      <c r="Q17" s="29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31">
        <v>-20776.071</v>
      </c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31">
        <v>-7851198.4349999996</v>
      </c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>
        <f t="shared" si="2"/>
        <v>-14302276.172319999</v>
      </c>
    </row>
    <row r="18" spans="1:101" x14ac:dyDescent="0.3">
      <c r="A18" s="166"/>
      <c r="B18" s="24" t="s">
        <v>95</v>
      </c>
      <c r="C18" s="25" t="s">
        <v>105</v>
      </c>
      <c r="D18" s="2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>
        <f t="shared" si="2"/>
        <v>0</v>
      </c>
    </row>
    <row r="19" spans="1:101" x14ac:dyDescent="0.3">
      <c r="A19" s="166"/>
      <c r="B19" s="24" t="s">
        <v>97</v>
      </c>
      <c r="C19" s="25" t="s">
        <v>106</v>
      </c>
      <c r="D19" s="26"/>
      <c r="E19" s="26"/>
      <c r="F19" s="26"/>
      <c r="G19" s="26"/>
      <c r="H19" s="26"/>
      <c r="I19" s="26"/>
      <c r="J19" s="26"/>
      <c r="K19" s="26"/>
      <c r="L19" s="178">
        <v>-390866965.46058995</v>
      </c>
      <c r="M19" s="180">
        <v>-94837941.850990012</v>
      </c>
      <c r="N19" s="26"/>
      <c r="O19" s="26"/>
      <c r="P19" s="31">
        <v>-57159865</v>
      </c>
      <c r="Q19" s="31">
        <v>-225468513.11309999</v>
      </c>
      <c r="R19" s="31">
        <v>-1200000</v>
      </c>
      <c r="S19" s="31">
        <v>-4635762</v>
      </c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>
        <f t="shared" si="2"/>
        <v>-715809182.42467999</v>
      </c>
    </row>
    <row r="20" spans="1:101" x14ac:dyDescent="0.3">
      <c r="A20" s="166"/>
      <c r="B20" s="24" t="s">
        <v>97</v>
      </c>
      <c r="C20" s="25" t="s">
        <v>107</v>
      </c>
      <c r="D20" s="26"/>
      <c r="E20" s="26"/>
      <c r="F20" s="26"/>
      <c r="G20" s="26"/>
      <c r="H20" s="26"/>
      <c r="I20" s="26"/>
      <c r="J20" s="26"/>
      <c r="K20" s="26"/>
      <c r="L20" s="178">
        <v>-564053159.39199996</v>
      </c>
      <c r="M20" s="180">
        <v>-645543104.29999995</v>
      </c>
      <c r="N20" s="26"/>
      <c r="O20" s="26"/>
      <c r="P20" s="26"/>
      <c r="Q20" s="29"/>
      <c r="R20" s="26"/>
      <c r="S20" s="29"/>
      <c r="T20" s="29"/>
      <c r="U20" s="29"/>
      <c r="V20" s="29"/>
      <c r="W20" s="29"/>
      <c r="X20" s="29"/>
      <c r="Y20" s="29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>
        <f t="shared" si="2"/>
        <v>-1209596263.6919999</v>
      </c>
    </row>
    <row r="21" spans="1:101" x14ac:dyDescent="0.3">
      <c r="A21" s="166"/>
      <c r="B21" s="24" t="s">
        <v>97</v>
      </c>
      <c r="C21" s="25" t="s">
        <v>108</v>
      </c>
      <c r="D21" s="26"/>
      <c r="E21" s="26"/>
      <c r="F21" s="26"/>
      <c r="G21" s="26"/>
      <c r="H21" s="26"/>
      <c r="I21" s="26"/>
      <c r="J21" s="26"/>
      <c r="K21" s="26"/>
      <c r="L21" s="178">
        <v>-1419153277.9460003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>
        <f t="shared" si="2"/>
        <v>-1419153277.9460003</v>
      </c>
    </row>
    <row r="22" spans="1:101" x14ac:dyDescent="0.3">
      <c r="A22" s="166"/>
      <c r="B22" s="24" t="s">
        <v>95</v>
      </c>
      <c r="C22" s="25" t="s">
        <v>109</v>
      </c>
      <c r="D22" s="26"/>
      <c r="E22" s="26"/>
      <c r="F22" s="26"/>
      <c r="G22" s="26"/>
      <c r="H22" s="26"/>
      <c r="I22" s="26"/>
      <c r="J22" s="26"/>
      <c r="K22" s="29"/>
      <c r="L22" s="178">
        <v>619862617.88504004</v>
      </c>
      <c r="M22" s="29"/>
      <c r="N22" s="26"/>
      <c r="O22" s="26"/>
      <c r="P22" s="31">
        <v>14333029.5</v>
      </c>
      <c r="Q22" s="31">
        <v>57481394.617831804</v>
      </c>
      <c r="R22" s="180">
        <v>4015440.97</v>
      </c>
      <c r="S22" s="31">
        <v>15737035.168756101</v>
      </c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>
        <f t="shared" si="2"/>
        <v>693081047.671628</v>
      </c>
    </row>
    <row r="23" spans="1:101" x14ac:dyDescent="0.3">
      <c r="A23" s="166"/>
      <c r="B23" s="24" t="s">
        <v>95</v>
      </c>
      <c r="C23" s="25" t="s">
        <v>110</v>
      </c>
      <c r="D23" s="26"/>
      <c r="E23" s="26"/>
      <c r="F23" s="26"/>
      <c r="G23" s="26"/>
      <c r="H23" s="26"/>
      <c r="I23" s="26"/>
      <c r="J23" s="26"/>
      <c r="K23" s="26"/>
      <c r="L23" s="178">
        <v>1212585853.8410001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>
        <f t="shared" si="2"/>
        <v>1212585853.8410001</v>
      </c>
    </row>
    <row r="24" spans="1:101" x14ac:dyDescent="0.3">
      <c r="A24" s="166"/>
      <c r="B24" s="24" t="s">
        <v>95</v>
      </c>
      <c r="C24" s="25" t="s">
        <v>111</v>
      </c>
      <c r="D24" s="26"/>
      <c r="E24" s="26"/>
      <c r="F24" s="26"/>
      <c r="G24" s="26"/>
      <c r="H24" s="26"/>
      <c r="I24" s="26"/>
      <c r="J24" s="26"/>
      <c r="K24" s="26"/>
      <c r="L24" s="178">
        <v>525774632.76100004</v>
      </c>
      <c r="M24" s="180">
        <v>704765581.03400004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>
        <f t="shared" si="2"/>
        <v>1230540213.7950001</v>
      </c>
    </row>
    <row r="25" spans="1:101" x14ac:dyDescent="0.3">
      <c r="A25" s="166"/>
      <c r="B25" s="24" t="s">
        <v>95</v>
      </c>
      <c r="C25" s="25" t="s">
        <v>112</v>
      </c>
      <c r="D25" s="26"/>
      <c r="E25" s="31">
        <v>1975167.56767</v>
      </c>
      <c r="F25" s="26"/>
      <c r="G25" s="26"/>
      <c r="H25" s="26"/>
      <c r="I25" s="26"/>
      <c r="J25" s="26"/>
      <c r="K25" s="26"/>
      <c r="L25" s="27"/>
      <c r="M25" s="29"/>
      <c r="N25" s="26"/>
      <c r="O25" s="26"/>
      <c r="P25" s="31">
        <v>1156686.6299999999</v>
      </c>
      <c r="Q25" s="31">
        <v>4511077.5260880999</v>
      </c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>
        <f t="shared" si="2"/>
        <v>6486245.0937580997</v>
      </c>
    </row>
    <row r="26" spans="1:101" x14ac:dyDescent="0.3">
      <c r="A26" s="166"/>
      <c r="B26" s="24" t="s">
        <v>97</v>
      </c>
      <c r="C26" s="25" t="s">
        <v>113</v>
      </c>
      <c r="D26" s="26"/>
      <c r="E26" s="31"/>
      <c r="F26" s="26"/>
      <c r="G26" s="26"/>
      <c r="H26" s="26"/>
      <c r="I26" s="26"/>
      <c r="J26" s="26"/>
      <c r="K26" s="26"/>
      <c r="L26" s="27"/>
      <c r="M26" s="29"/>
      <c r="N26" s="26"/>
      <c r="O26" s="26"/>
      <c r="P26" s="31">
        <v>-2951724.09</v>
      </c>
      <c r="Q26" s="31">
        <v>-11509485.7122823</v>
      </c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31">
        <v>-260837.48</v>
      </c>
      <c r="AI26" s="31">
        <v>-1010956.0869236001</v>
      </c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>
        <f t="shared" si="2"/>
        <v>-12520441.799205899</v>
      </c>
    </row>
    <row r="27" spans="1:101" x14ac:dyDescent="0.3">
      <c r="A27" s="166"/>
      <c r="B27" s="24" t="s">
        <v>95</v>
      </c>
      <c r="C27" s="25" t="s">
        <v>114</v>
      </c>
      <c r="D27" s="31">
        <v>678000</v>
      </c>
      <c r="E27" s="180">
        <v>37365000</v>
      </c>
      <c r="F27" s="180">
        <v>70443000</v>
      </c>
      <c r="G27" s="26"/>
      <c r="H27" s="26"/>
      <c r="I27" s="31">
        <v>7550000</v>
      </c>
      <c r="J27" s="26"/>
      <c r="K27" s="26"/>
      <c r="L27" s="178">
        <v>163490000</v>
      </c>
      <c r="M27" s="31">
        <v>96180000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31">
        <v>16000000</v>
      </c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31">
        <v>800000</v>
      </c>
      <c r="BZ27" s="31">
        <v>66100000</v>
      </c>
      <c r="CA27" s="31">
        <v>48150000</v>
      </c>
      <c r="CB27" s="26"/>
      <c r="CC27" s="26"/>
      <c r="CD27" s="26"/>
      <c r="CE27" s="26"/>
      <c r="CF27" s="26"/>
      <c r="CG27" s="26"/>
      <c r="CH27" s="26"/>
      <c r="CI27" s="31">
        <v>395000</v>
      </c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>
        <f>D27+E27+F27+G27+H27+I27+J27+K27+L27+M27+O27+Q27+S27+U27+W27+Y27+AA27+AC27+AE27+AG27+AI27+AK27+AL27+AM27+AQ27+AR27+AS27+AT27+AU27+AV27+AW27+AX27+AY27+AZ27+BA27+BB27+BC27+BD27+BE27+BF27+BG27+BH27+BI27+BJ27+BK27+BS27+BU27+BV27+BW27+BX27+BY27+BZ27+CA27+CB27+CC27+CD27+CE27+CF27+CG27+CH27+CI27+CJ27+BL27+BM27+BN27+BO27+BP27+BQ27+CK27+CL27+CM27+CN27+CO27+CP27+CQ27+AN27+AO27+AP27+CR27+CT27+CV27</f>
        <v>507151000</v>
      </c>
    </row>
    <row r="28" spans="1:101" x14ac:dyDescent="0.3">
      <c r="A28" s="166"/>
      <c r="B28" s="24" t="s">
        <v>97</v>
      </c>
      <c r="C28" s="25" t="s">
        <v>115</v>
      </c>
      <c r="D28" s="31">
        <v>-28000</v>
      </c>
      <c r="E28" s="31">
        <v>-180491000</v>
      </c>
      <c r="F28" s="31">
        <v>-106333000</v>
      </c>
      <c r="G28" s="26"/>
      <c r="H28" s="26"/>
      <c r="I28" s="26"/>
      <c r="J28" s="26"/>
      <c r="K28" s="26"/>
      <c r="L28" s="178">
        <v>-93220000</v>
      </c>
      <c r="M28" s="31">
        <v>-53300000</v>
      </c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31">
        <v>-43000</v>
      </c>
      <c r="BX28" s="26"/>
      <c r="BY28" s="26"/>
      <c r="BZ28" s="26"/>
      <c r="CA28" s="26"/>
      <c r="CB28" s="26"/>
      <c r="CC28" s="26"/>
      <c r="CD28" s="26"/>
      <c r="CE28" s="31">
        <v>-18000</v>
      </c>
      <c r="CF28" s="31">
        <v>-843000</v>
      </c>
      <c r="CG28" s="31">
        <v>-34000</v>
      </c>
      <c r="CH28" s="26"/>
      <c r="CI28" s="31">
        <v>-287000</v>
      </c>
      <c r="CJ28" s="180">
        <v>-848000</v>
      </c>
      <c r="CK28" s="26"/>
      <c r="CL28" s="26"/>
      <c r="CM28" s="26"/>
      <c r="CN28" s="26"/>
      <c r="CO28" s="26"/>
      <c r="CP28" s="26"/>
      <c r="CQ28" s="26"/>
      <c r="CR28" s="31">
        <v>-874000</v>
      </c>
      <c r="CS28" s="26"/>
      <c r="CT28" s="26"/>
      <c r="CU28" s="26"/>
      <c r="CV28" s="26"/>
      <c r="CW28" s="26">
        <f>D28+E28+F28+G28+H28+I28+J28+K28+L28+M28+O28+Q28+S28+U28+W28+Y28+AA28+AC28+AE28+AG28+AI28+AK28+AL28+AM28+AQ28+AR28+AS28+AT28+AU28+AV28+AW28+AX28+AY28+AZ28+BA28+BB28+BC28+BD28+BE28+BF28+BG28+BH28+BI28+BJ28+BK28+BS28+BU28+BV28+BW28+BX28+BY28+BZ28+CA28+CB28+CC28+CD28+CE28+CF28+CG28+CH28+CI28+CJ28+BL28+BM28+BN28+BO28+BP28+BQ28+CK28+CL28+CM28+CN28+CO28+CP28+CQ28+AN28+AO28+AP28+CR28+CT28+CV28</f>
        <v>-436319000</v>
      </c>
    </row>
    <row r="29" spans="1:101" x14ac:dyDescent="0.3">
      <c r="A29" s="166"/>
      <c r="B29" s="24"/>
      <c r="C29" s="25" t="s">
        <v>116</v>
      </c>
      <c r="D29" s="26"/>
      <c r="E29" s="180">
        <v>-59109015.495999999</v>
      </c>
      <c r="F29" s="180">
        <v>4732000</v>
      </c>
      <c r="G29" s="26"/>
      <c r="H29" s="26"/>
      <c r="I29" s="180">
        <v>-7594984.5039999997</v>
      </c>
      <c r="J29" s="26"/>
      <c r="K29" s="26"/>
      <c r="L29" s="180">
        <v>66704000</v>
      </c>
      <c r="M29" s="180">
        <v>-4732000</v>
      </c>
      <c r="N29" s="26"/>
      <c r="O29" s="26"/>
      <c r="P29" s="180">
        <v>-1000000</v>
      </c>
      <c r="Q29" s="31">
        <v>-3897570</v>
      </c>
      <c r="R29" s="31">
        <v>-900000</v>
      </c>
      <c r="S29" s="31">
        <v>-2939516</v>
      </c>
      <c r="T29" s="29"/>
      <c r="U29" s="26"/>
      <c r="V29" s="29"/>
      <c r="W29" s="26"/>
      <c r="X29" s="31">
        <v>1000000</v>
      </c>
      <c r="Y29" s="31">
        <v>4016940</v>
      </c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9"/>
      <c r="BK29" s="26"/>
      <c r="BL29" s="26"/>
      <c r="BM29" s="29"/>
      <c r="BN29" s="29"/>
      <c r="BO29" s="26"/>
      <c r="BP29" s="26"/>
      <c r="BQ29" s="26"/>
      <c r="BR29" s="180">
        <v>1000000</v>
      </c>
      <c r="BS29" s="31">
        <v>3897570</v>
      </c>
      <c r="BT29" s="31">
        <v>-100000</v>
      </c>
      <c r="BU29" s="31">
        <v>-1077424</v>
      </c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>
        <f t="shared" si="2"/>
        <v>0</v>
      </c>
    </row>
    <row r="30" spans="1:101" x14ac:dyDescent="0.3">
      <c r="A30" s="161" t="s">
        <v>117</v>
      </c>
      <c r="B30" s="32" t="s">
        <v>97</v>
      </c>
      <c r="C30" s="33" t="s">
        <v>118</v>
      </c>
      <c r="D30" s="34"/>
      <c r="E30" s="34"/>
      <c r="F30" s="34"/>
      <c r="G30" s="34"/>
      <c r="H30" s="34"/>
      <c r="I30" s="34"/>
      <c r="J30" s="34"/>
      <c r="K30" s="34"/>
      <c r="L30" s="181">
        <v>-14789460</v>
      </c>
      <c r="M30" s="182">
        <v>-2084740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181">
        <v>-700026.36199999996</v>
      </c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26">
        <f t="shared" si="2"/>
        <v>-17574226.362</v>
      </c>
    </row>
    <row r="31" spans="1:101" x14ac:dyDescent="0.3">
      <c r="A31" s="161"/>
      <c r="B31" s="32" t="s">
        <v>95</v>
      </c>
      <c r="C31" s="33" t="s">
        <v>119</v>
      </c>
      <c r="D31" s="34"/>
      <c r="E31" s="34"/>
      <c r="F31" s="34"/>
      <c r="G31" s="34"/>
      <c r="H31" s="34"/>
      <c r="I31" s="34"/>
      <c r="J31" s="34"/>
      <c r="K31" s="34"/>
      <c r="L31" s="182">
        <v>2061587.1119399997</v>
      </c>
      <c r="M31" s="35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26">
        <f t="shared" si="2"/>
        <v>2061587.1119399997</v>
      </c>
    </row>
    <row r="32" spans="1:101" x14ac:dyDescent="0.3">
      <c r="A32" s="161"/>
      <c r="B32" s="32" t="s">
        <v>95</v>
      </c>
      <c r="C32" s="33" t="s">
        <v>120</v>
      </c>
      <c r="D32" s="34"/>
      <c r="E32" s="34"/>
      <c r="F32" s="34"/>
      <c r="G32" s="34"/>
      <c r="H32" s="34"/>
      <c r="I32" s="34"/>
      <c r="J32" s="34"/>
      <c r="K32" s="34"/>
      <c r="L32" s="182">
        <v>2367.0399200000002</v>
      </c>
      <c r="M32" s="182">
        <v>120.4</v>
      </c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26">
        <f t="shared" si="2"/>
        <v>2487.4399200000003</v>
      </c>
    </row>
    <row r="33" spans="1:101" x14ac:dyDescent="0.3">
      <c r="A33" s="161"/>
      <c r="B33" s="32" t="s">
        <v>97</v>
      </c>
      <c r="C33" s="33" t="s">
        <v>121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182">
        <v>-8051353.699</v>
      </c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26">
        <f t="shared" si="2"/>
        <v>-8051353.699</v>
      </c>
    </row>
    <row r="34" spans="1:101" x14ac:dyDescent="0.3">
      <c r="A34" s="161"/>
      <c r="B34" s="32" t="s">
        <v>95</v>
      </c>
      <c r="C34" s="33" t="s">
        <v>122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26">
        <f t="shared" si="2"/>
        <v>0</v>
      </c>
    </row>
    <row r="35" spans="1:101" ht="15" customHeight="1" x14ac:dyDescent="0.3">
      <c r="A35" s="162" t="s">
        <v>123</v>
      </c>
      <c r="B35" s="36"/>
      <c r="C35" s="37" t="s">
        <v>124</v>
      </c>
      <c r="D35" s="38"/>
      <c r="E35" s="38"/>
      <c r="F35" s="38"/>
      <c r="G35" s="38"/>
      <c r="H35" s="38"/>
      <c r="I35" s="38"/>
      <c r="J35" s="38"/>
      <c r="K35" s="38"/>
      <c r="L35" s="183">
        <v>20550.833330000001</v>
      </c>
      <c r="M35" s="38"/>
      <c r="N35" s="38"/>
      <c r="O35" s="38"/>
      <c r="P35" s="183">
        <v>5691678.1600000001</v>
      </c>
      <c r="Q35" s="183">
        <v>22394324.718613103</v>
      </c>
      <c r="R35" s="38"/>
      <c r="S35" s="38"/>
      <c r="T35" s="38"/>
      <c r="U35" s="38"/>
      <c r="V35" s="183">
        <v>8270423.2100000009</v>
      </c>
      <c r="W35" s="183">
        <v>31628377.809177406</v>
      </c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26">
        <f t="shared" si="2"/>
        <v>54043253.361120507</v>
      </c>
    </row>
    <row r="36" spans="1:101" x14ac:dyDescent="0.3">
      <c r="A36" s="162"/>
      <c r="B36" s="36" t="s">
        <v>97</v>
      </c>
      <c r="C36" s="37" t="s">
        <v>125</v>
      </c>
      <c r="D36" s="38"/>
      <c r="E36" s="38"/>
      <c r="F36" s="38"/>
      <c r="G36" s="38"/>
      <c r="H36" s="38"/>
      <c r="I36" s="38"/>
      <c r="J36" s="38"/>
      <c r="K36" s="39"/>
      <c r="L36" s="39"/>
      <c r="M36" s="39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26">
        <f t="shared" si="2"/>
        <v>0</v>
      </c>
    </row>
    <row r="37" spans="1:101" x14ac:dyDescent="0.3">
      <c r="A37" s="162"/>
      <c r="B37" s="36" t="s">
        <v>95</v>
      </c>
      <c r="C37" s="37" t="s">
        <v>125</v>
      </c>
      <c r="D37" s="38"/>
      <c r="E37" s="38"/>
      <c r="F37" s="38"/>
      <c r="G37" s="38"/>
      <c r="H37" s="38"/>
      <c r="I37" s="38"/>
      <c r="J37" s="38"/>
      <c r="K37" s="39"/>
      <c r="L37" s="39"/>
      <c r="M37" s="184">
        <v>28590</v>
      </c>
      <c r="N37" s="38"/>
      <c r="O37" s="38"/>
      <c r="P37" s="183">
        <v>24059.95</v>
      </c>
      <c r="Q37" s="183">
        <v>94923.480135499995</v>
      </c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26">
        <f t="shared" si="2"/>
        <v>123513.48013549999</v>
      </c>
    </row>
    <row r="38" spans="1:101" x14ac:dyDescent="0.3">
      <c r="A38" s="162"/>
      <c r="B38" s="36" t="s">
        <v>97</v>
      </c>
      <c r="C38" s="37" t="s">
        <v>126</v>
      </c>
      <c r="D38" s="40"/>
      <c r="E38" s="38"/>
      <c r="F38" s="38"/>
      <c r="G38" s="38"/>
      <c r="H38" s="38"/>
      <c r="I38" s="38"/>
      <c r="J38" s="41"/>
      <c r="K38" s="38"/>
      <c r="L38" s="184">
        <v>-27814205.614879999</v>
      </c>
      <c r="M38" s="184">
        <v>-9502030</v>
      </c>
      <c r="N38" s="38"/>
      <c r="O38" s="38"/>
      <c r="P38" s="183">
        <v>-5099580.1800000006</v>
      </c>
      <c r="Q38" s="183">
        <v>-19960445.214446701</v>
      </c>
      <c r="R38" s="183">
        <v>-216440.7</v>
      </c>
      <c r="S38" s="183">
        <v>-846141.52493100008</v>
      </c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26">
        <f t="shared" si="2"/>
        <v>-58122822.354257695</v>
      </c>
    </row>
    <row r="39" spans="1:101" x14ac:dyDescent="0.3">
      <c r="A39" s="162"/>
      <c r="B39" s="36" t="s">
        <v>95</v>
      </c>
      <c r="C39" s="37" t="s">
        <v>126</v>
      </c>
      <c r="D39" s="38"/>
      <c r="E39" s="38"/>
      <c r="F39" s="38"/>
      <c r="G39" s="38"/>
      <c r="H39" s="38"/>
      <c r="I39" s="38"/>
      <c r="J39" s="41"/>
      <c r="K39" s="38"/>
      <c r="L39" s="39"/>
      <c r="M39" s="38"/>
      <c r="N39" s="38"/>
      <c r="O39" s="38"/>
      <c r="P39" s="39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26">
        <f t="shared" si="2"/>
        <v>0</v>
      </c>
    </row>
    <row r="40" spans="1:101" x14ac:dyDescent="0.3">
      <c r="A40" s="163" t="s">
        <v>127</v>
      </c>
      <c r="B40" s="42" t="s">
        <v>97</v>
      </c>
      <c r="C40" s="43" t="s">
        <v>128</v>
      </c>
      <c r="D40" s="185">
        <v>-1170.9000000000001</v>
      </c>
      <c r="E40" s="185">
        <v>-3991224.6270499998</v>
      </c>
      <c r="F40" s="185">
        <v>-1802445.6156900001</v>
      </c>
      <c r="G40" s="45"/>
      <c r="H40" s="45"/>
      <c r="I40" s="45"/>
      <c r="J40" s="45"/>
      <c r="K40" s="45"/>
      <c r="L40" s="44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186">
        <v>-15133.87479</v>
      </c>
      <c r="AM40" s="45"/>
      <c r="AN40" s="45"/>
      <c r="AO40" s="45"/>
      <c r="AP40" s="186">
        <v>-245466.94209000003</v>
      </c>
      <c r="AQ40" s="186">
        <v>-1166.0250000000001</v>
      </c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26">
        <f t="shared" si="2"/>
        <v>-6056607.9846200002</v>
      </c>
    </row>
    <row r="41" spans="1:101" x14ac:dyDescent="0.3">
      <c r="A41" s="163"/>
      <c r="B41" s="42" t="s">
        <v>95</v>
      </c>
      <c r="C41" s="43" t="s">
        <v>129</v>
      </c>
      <c r="D41" s="44"/>
      <c r="E41" s="45"/>
      <c r="F41" s="44"/>
      <c r="G41" s="45"/>
      <c r="H41" s="45"/>
      <c r="I41" s="45"/>
      <c r="J41" s="45"/>
      <c r="K41" s="45"/>
      <c r="L41" s="44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26">
        <f t="shared" si="2"/>
        <v>0</v>
      </c>
    </row>
    <row r="42" spans="1:101" x14ac:dyDescent="0.3">
      <c r="A42" s="163"/>
      <c r="B42" s="42" t="s">
        <v>97</v>
      </c>
      <c r="C42" s="43" t="s">
        <v>130</v>
      </c>
      <c r="D42" s="44"/>
      <c r="E42" s="44"/>
      <c r="F42" s="185">
        <v>-26084500</v>
      </c>
      <c r="G42" s="45"/>
      <c r="H42" s="45"/>
      <c r="I42" s="45"/>
      <c r="J42" s="45"/>
      <c r="K42" s="45"/>
      <c r="L42" s="44"/>
      <c r="M42" s="45"/>
      <c r="N42" s="45"/>
      <c r="O42" s="45"/>
      <c r="P42" s="45"/>
      <c r="Q42" s="45"/>
      <c r="R42" s="44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186">
        <v>6500000</v>
      </c>
      <c r="BU42" s="185">
        <v>26084500</v>
      </c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26">
        <f t="shared" si="2"/>
        <v>0</v>
      </c>
    </row>
    <row r="43" spans="1:101" x14ac:dyDescent="0.3">
      <c r="A43" s="163"/>
      <c r="B43" s="42" t="s">
        <v>97</v>
      </c>
      <c r="C43" s="43" t="s">
        <v>131</v>
      </c>
      <c r="D43" s="44"/>
      <c r="E43" s="185">
        <v>-11528000</v>
      </c>
      <c r="F43" s="44"/>
      <c r="G43" s="45"/>
      <c r="H43" s="45"/>
      <c r="I43" s="45"/>
      <c r="J43" s="45"/>
      <c r="K43" s="45"/>
      <c r="L43" s="44"/>
      <c r="M43" s="45"/>
      <c r="N43" s="45"/>
      <c r="O43" s="45"/>
      <c r="P43" s="186">
        <v>2900000</v>
      </c>
      <c r="Q43" s="185">
        <v>11528000</v>
      </c>
      <c r="R43" s="45"/>
      <c r="S43" s="44"/>
      <c r="T43" s="44"/>
      <c r="U43" s="44"/>
      <c r="V43" s="44"/>
      <c r="W43" s="44"/>
      <c r="X43" s="44"/>
      <c r="Y43" s="4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26">
        <f>D43+E43+F43+G43+H43+I43+J43+K43+L43+M43+O43+Q43+S43+U43+W43+Y43+AA43+AC43+AE43+AG43+AI43+AK43+AL43+AM43+AQ43+AR43+AS43+AT43+AU43+AV43+AW43+AX43+AY43+AZ43+BA43+BB43+BC43+BD43+BE43+BF43+BG43+BH43+BI43+BJ43+BK43+BS43+BU43+BV43+BW43+BX43+BY43+BZ43+CA43+CB43+CC43+CD43+CE43+CF43+CG43+CH43+CI43+CJ43+BL43+BM43+BN43+BO43+BP43+BQ43+CK43+CL43+CM43+CN43+CO43+CP43+CQ43+AN43+AO43+AP43+CR43+CT43+CV43</f>
        <v>0</v>
      </c>
    </row>
    <row r="44" spans="1:101" x14ac:dyDescent="0.3">
      <c r="A44" s="163"/>
      <c r="B44" s="42" t="s">
        <v>95</v>
      </c>
      <c r="C44" s="43" t="s">
        <v>132</v>
      </c>
      <c r="D44" s="44"/>
      <c r="E44" s="186">
        <v>7818000</v>
      </c>
      <c r="F44" s="185">
        <v>17590500</v>
      </c>
      <c r="G44" s="45"/>
      <c r="H44" s="45"/>
      <c r="I44" s="45"/>
      <c r="J44" s="45"/>
      <c r="K44" s="45"/>
      <c r="L44" s="44"/>
      <c r="M44" s="44"/>
      <c r="N44" s="45"/>
      <c r="O44" s="45"/>
      <c r="P44" s="186">
        <v>-2000000</v>
      </c>
      <c r="Q44" s="186">
        <v>-7818000</v>
      </c>
      <c r="R44" s="186">
        <v>-3000000</v>
      </c>
      <c r="S44" s="186">
        <v>-11727000</v>
      </c>
      <c r="T44" s="45"/>
      <c r="U44" s="45"/>
      <c r="V44" s="45"/>
      <c r="W44" s="45"/>
      <c r="X44" s="186">
        <v>-1500000</v>
      </c>
      <c r="Y44" s="186">
        <v>-5863500</v>
      </c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26">
        <f t="shared" si="2"/>
        <v>0</v>
      </c>
    </row>
    <row r="45" spans="1:101" x14ac:dyDescent="0.3">
      <c r="A45" s="164" t="s">
        <v>133</v>
      </c>
      <c r="B45" s="46" t="s">
        <v>95</v>
      </c>
      <c r="C45" s="47" t="s">
        <v>134</v>
      </c>
      <c r="D45" s="48"/>
      <c r="E45" s="48"/>
      <c r="F45" s="48"/>
      <c r="G45" s="49"/>
      <c r="H45" s="49"/>
      <c r="I45" s="49"/>
      <c r="J45" s="49"/>
      <c r="K45" s="49"/>
      <c r="L45" s="48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26">
        <f t="shared" si="2"/>
        <v>0</v>
      </c>
    </row>
    <row r="46" spans="1:101" x14ac:dyDescent="0.3">
      <c r="A46" s="164"/>
      <c r="B46" s="46" t="s">
        <v>97</v>
      </c>
      <c r="C46" s="47" t="s">
        <v>134</v>
      </c>
      <c r="D46" s="48"/>
      <c r="E46" s="48"/>
      <c r="F46" s="48"/>
      <c r="G46" s="49"/>
      <c r="H46" s="49"/>
      <c r="I46" s="49"/>
      <c r="J46" s="49"/>
      <c r="K46" s="49"/>
      <c r="L46" s="48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26">
        <f t="shared" si="2"/>
        <v>0</v>
      </c>
    </row>
    <row r="47" spans="1:101" x14ac:dyDescent="0.3">
      <c r="A47" s="164"/>
      <c r="B47" s="46"/>
      <c r="C47" s="47" t="s">
        <v>135</v>
      </c>
      <c r="D47" s="48"/>
      <c r="E47" s="48"/>
      <c r="F47" s="48"/>
      <c r="G47" s="49"/>
      <c r="H47" s="49"/>
      <c r="I47" s="49"/>
      <c r="J47" s="49"/>
      <c r="K47" s="49"/>
      <c r="L47" s="48"/>
      <c r="M47" s="48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187">
        <v>-35319.911999999989</v>
      </c>
      <c r="AX47" s="49"/>
      <c r="AY47" s="187">
        <v>-927.30300000000011</v>
      </c>
      <c r="AZ47" s="49"/>
      <c r="BA47" s="49"/>
      <c r="BB47" s="49"/>
      <c r="BC47" s="49"/>
      <c r="BD47" s="49"/>
      <c r="BE47" s="187">
        <v>-120000</v>
      </c>
      <c r="BF47" s="49"/>
      <c r="BG47" s="49"/>
      <c r="BH47" s="49"/>
      <c r="BI47" s="49"/>
      <c r="BJ47" s="187">
        <v>-3614.2919999999999</v>
      </c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26">
        <f t="shared" si="2"/>
        <v>-159861.50699999998</v>
      </c>
    </row>
    <row r="48" spans="1:101" x14ac:dyDescent="0.3">
      <c r="A48" s="164"/>
      <c r="B48" s="46" t="s">
        <v>95</v>
      </c>
      <c r="C48" s="47" t="s">
        <v>136</v>
      </c>
      <c r="D48" s="48"/>
      <c r="E48" s="48"/>
      <c r="F48" s="48"/>
      <c r="G48" s="49"/>
      <c r="H48" s="49"/>
      <c r="I48" s="49"/>
      <c r="J48" s="49"/>
      <c r="K48" s="49"/>
      <c r="L48" s="188">
        <v>15756310.52344</v>
      </c>
      <c r="M48" s="188">
        <v>6796684.6781700002</v>
      </c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187">
        <v>4288294.051</v>
      </c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26">
        <f t="shared" si="2"/>
        <v>26841289.252609998</v>
      </c>
    </row>
    <row r="49" spans="1:101" x14ac:dyDescent="0.3">
      <c r="A49" s="164"/>
      <c r="B49" s="46"/>
      <c r="C49" s="47" t="s">
        <v>133</v>
      </c>
      <c r="D49" s="48"/>
      <c r="E49" s="48"/>
      <c r="F49" s="48"/>
      <c r="G49" s="49"/>
      <c r="H49" s="49"/>
      <c r="I49" s="48"/>
      <c r="J49" s="49"/>
      <c r="K49" s="49"/>
      <c r="L49" s="48"/>
      <c r="M49" s="48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8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187">
        <v>-446065.46023999999</v>
      </c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26">
        <f t="shared" si="2"/>
        <v>-446065.46023999999</v>
      </c>
    </row>
    <row r="50" spans="1:101" x14ac:dyDescent="0.3">
      <c r="A50" s="164"/>
      <c r="B50" s="46" t="s">
        <v>97</v>
      </c>
      <c r="C50" s="47" t="s">
        <v>137</v>
      </c>
      <c r="D50" s="48"/>
      <c r="E50" s="48"/>
      <c r="F50" s="48"/>
      <c r="G50" s="49"/>
      <c r="H50" s="49"/>
      <c r="I50" s="187">
        <v>-55.996000000000002</v>
      </c>
      <c r="J50" s="49"/>
      <c r="K50" s="48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187">
        <v>-97.491</v>
      </c>
      <c r="AW50" s="187">
        <v>-170.398</v>
      </c>
      <c r="AX50" s="49"/>
      <c r="AY50" s="187">
        <v>-943.63199999999995</v>
      </c>
      <c r="AZ50" s="187">
        <v>-9.1349999999999998</v>
      </c>
      <c r="BA50" s="187">
        <v>-76.504999999999995</v>
      </c>
      <c r="BB50" s="187">
        <v>-26.791</v>
      </c>
      <c r="BC50" s="187">
        <v>-101.02299999999997</v>
      </c>
      <c r="BD50" s="187">
        <v>-6.4929999999999986</v>
      </c>
      <c r="BE50" s="187">
        <v>-0.76251999999999998</v>
      </c>
      <c r="BF50" s="49"/>
      <c r="BG50" s="49"/>
      <c r="BH50" s="187">
        <v>-54.187739999999998</v>
      </c>
      <c r="BI50" s="187">
        <v>-12174.773579999999</v>
      </c>
      <c r="BJ50" s="187">
        <v>-22.658000000000001</v>
      </c>
      <c r="BK50" s="187">
        <v>-1457.4269999999997</v>
      </c>
      <c r="BL50" s="187">
        <v>-44.787999999999997</v>
      </c>
      <c r="BM50" s="187">
        <v>-626.33199999999999</v>
      </c>
      <c r="BN50" s="187">
        <v>-483.68899999999996</v>
      </c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26">
        <f t="shared" si="2"/>
        <v>-16352.081839999999</v>
      </c>
    </row>
    <row r="51" spans="1:101" x14ac:dyDescent="0.3">
      <c r="A51" s="164"/>
      <c r="B51" s="46" t="s">
        <v>97</v>
      </c>
      <c r="C51" s="47" t="s">
        <v>138</v>
      </c>
      <c r="D51" s="188">
        <v>-5860.75</v>
      </c>
      <c r="E51" s="187">
        <v>-28948.255999999994</v>
      </c>
      <c r="F51" s="187">
        <v>-7666.3</v>
      </c>
      <c r="G51" s="49"/>
      <c r="H51" s="49"/>
      <c r="I51" s="49"/>
      <c r="J51" s="49"/>
      <c r="K51" s="188">
        <v>-5209.6020000000008</v>
      </c>
      <c r="L51" s="188">
        <v>-9341.4199900000003</v>
      </c>
      <c r="M51" s="188">
        <v>-3135.5888099999997</v>
      </c>
      <c r="N51" s="187">
        <v>-45</v>
      </c>
      <c r="O51" s="187">
        <v>-175.86539999999999</v>
      </c>
      <c r="P51" s="187">
        <v>-915</v>
      </c>
      <c r="Q51" s="187">
        <v>-3575.9297999999999</v>
      </c>
      <c r="R51" s="187">
        <v>-269</v>
      </c>
      <c r="S51" s="187">
        <v>-1051.2842800000001</v>
      </c>
      <c r="T51" s="187">
        <v>-100.1</v>
      </c>
      <c r="U51" s="187">
        <v>-391.01462399999997</v>
      </c>
      <c r="V51" s="187">
        <v>-513.70000000000005</v>
      </c>
      <c r="W51" s="187">
        <v>-2006.6354880000001</v>
      </c>
      <c r="X51" s="187">
        <v>-133.19999999999999</v>
      </c>
      <c r="Y51" s="187">
        <v>-520.31116799999995</v>
      </c>
      <c r="Z51" s="49"/>
      <c r="AA51" s="49"/>
      <c r="AB51" s="49"/>
      <c r="AC51" s="49"/>
      <c r="AD51" s="49"/>
      <c r="AE51" s="49"/>
      <c r="AF51" s="49"/>
      <c r="AG51" s="49"/>
      <c r="AH51" s="187">
        <v>-107</v>
      </c>
      <c r="AI51" s="187">
        <v>-414.61055499999998</v>
      </c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187">
        <v>-558.38108999999997</v>
      </c>
      <c r="BI51" s="187">
        <v>-104206.0913</v>
      </c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26">
        <f t="shared" si="2"/>
        <v>-173062.04050500001</v>
      </c>
    </row>
    <row r="52" spans="1:101" x14ac:dyDescent="0.3">
      <c r="A52" s="164"/>
      <c r="B52" s="46" t="s">
        <v>95</v>
      </c>
      <c r="C52" s="47" t="s">
        <v>139</v>
      </c>
      <c r="D52" s="49"/>
      <c r="E52" s="49"/>
      <c r="F52" s="49"/>
      <c r="G52" s="49"/>
      <c r="H52" s="49"/>
      <c r="I52" s="187">
        <v>436.02852000000007</v>
      </c>
      <c r="J52" s="49"/>
      <c r="K52" s="49"/>
      <c r="L52" s="48"/>
      <c r="M52" s="48"/>
      <c r="N52" s="49"/>
      <c r="O52" s="49"/>
      <c r="P52" s="49"/>
      <c r="Q52" s="49"/>
      <c r="R52" s="187">
        <v>8725.3700000000008</v>
      </c>
      <c r="S52" s="187">
        <v>34233.101098400002</v>
      </c>
      <c r="T52" s="187">
        <v>158.41</v>
      </c>
      <c r="U52" s="187">
        <v>636.55632809999997</v>
      </c>
      <c r="V52" s="187">
        <v>116258.22</v>
      </c>
      <c r="W52" s="187">
        <v>467173.19383020001</v>
      </c>
      <c r="X52" s="187">
        <v>3928.91</v>
      </c>
      <c r="Y52" s="187">
        <v>15787.971233099999</v>
      </c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187">
        <v>844.84</v>
      </c>
      <c r="AK52" s="187">
        <v>3295.9658436000004</v>
      </c>
      <c r="AL52" s="49"/>
      <c r="AM52" s="49"/>
      <c r="AN52" s="49"/>
      <c r="AO52" s="49"/>
      <c r="AP52" s="49"/>
      <c r="AQ52" s="49"/>
      <c r="AR52" s="187">
        <v>88.094999999999999</v>
      </c>
      <c r="AS52" s="187">
        <v>1.7000000000000001E-2</v>
      </c>
      <c r="AT52" s="187">
        <v>0.03</v>
      </c>
      <c r="AU52" s="187">
        <v>34.847999999999999</v>
      </c>
      <c r="AV52" s="187">
        <v>1392.73</v>
      </c>
      <c r="AW52" s="187">
        <v>555.65114000000005</v>
      </c>
      <c r="AX52" s="187">
        <v>5.8297499999999998</v>
      </c>
      <c r="AY52" s="187">
        <v>13377.76852</v>
      </c>
      <c r="AZ52" s="187">
        <v>130.06904</v>
      </c>
      <c r="BA52" s="187">
        <v>1092.1200000000001</v>
      </c>
      <c r="BB52" s="187">
        <v>378.50799999999998</v>
      </c>
      <c r="BC52" s="187">
        <v>1442.664</v>
      </c>
      <c r="BD52" s="187">
        <v>92.20499999999997</v>
      </c>
      <c r="BE52" s="187">
        <v>10.89315</v>
      </c>
      <c r="BF52" s="187">
        <v>13.45492</v>
      </c>
      <c r="BG52" s="187">
        <v>0.28754999999999997</v>
      </c>
      <c r="BH52" s="187">
        <v>52.140470000000001</v>
      </c>
      <c r="BI52" s="187">
        <v>298.09345999999999</v>
      </c>
      <c r="BJ52" s="187">
        <v>323.65411</v>
      </c>
      <c r="BK52" s="187">
        <v>20820.421919999997</v>
      </c>
      <c r="BL52" s="187">
        <v>639.80743999999981</v>
      </c>
      <c r="BM52" s="187">
        <v>6267.3284799999992</v>
      </c>
      <c r="BN52" s="187">
        <v>6910.8124599999992</v>
      </c>
      <c r="BO52" s="49"/>
      <c r="BP52" s="187">
        <v>1.4486699999999999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26">
        <f t="shared" si="2"/>
        <v>575491.69493339991</v>
      </c>
    </row>
    <row r="53" spans="1:101" x14ac:dyDescent="0.3">
      <c r="A53" s="164"/>
      <c r="B53" s="46" t="s">
        <v>97</v>
      </c>
      <c r="C53" s="47" t="s">
        <v>140</v>
      </c>
      <c r="D53" s="49">
        <f>(D10+D13+D16+D17+D33+D38+D47+D35)*4/1000</f>
        <v>0</v>
      </c>
      <c r="E53" s="49">
        <f>(E10+E13+E16+E17+E33+E38+E47+E51+E35+E40)*4/1000</f>
        <v>-16080.691532199999</v>
      </c>
      <c r="F53" s="49">
        <f>(F10+F13+F16+F17+F33+F38+F47+F35)*4/1000</f>
        <v>0</v>
      </c>
      <c r="G53" s="49">
        <f>(G10+G13+G16+G17+G33+G38+G47+G30+G40+G51+G35+G26)*4/1000</f>
        <v>0</v>
      </c>
      <c r="H53" s="49">
        <f>(H10+H13+H16+H17+H33+H38+H40+H47+H51)*4/1000</f>
        <v>0</v>
      </c>
      <c r="I53" s="49">
        <f>(I10+I13+I16+I17+I33+I38+I40+I47+I51)*4/1000</f>
        <v>0</v>
      </c>
      <c r="J53" s="49">
        <f>(J10+J13+J16+J17+J33+J38+J40+J47+J51)*4/1000</f>
        <v>0</v>
      </c>
      <c r="K53" s="48">
        <f>(K10+K13+K17+K33+K38+K40+K51+K36+K49+K29)*4/1000</f>
        <v>-20.838408000000005</v>
      </c>
      <c r="L53" s="48">
        <f>(L10+L13+L17+L33+L38+L40+L51+L36+L49+L16)*4/1000</f>
        <v>-592592.49480475998</v>
      </c>
      <c r="M53" s="48">
        <f>(M10+M13+M17+M33+M38+M40+M51+M36+M49+M16)*4/1000</f>
        <v>-42443.562355239999</v>
      </c>
      <c r="N53" s="49">
        <f>(N10+N13+N16+N17+N33+N47)*4/1000</f>
        <v>0</v>
      </c>
      <c r="O53" s="49">
        <f>(O10+O13+O16+O17+O33+O38+O47)*4/1000</f>
        <v>0</v>
      </c>
      <c r="P53" s="49">
        <f>(P10+P13+P33+P47)*4/1000</f>
        <v>0</v>
      </c>
      <c r="Q53" s="49">
        <f>(Q10+Q13+Q33+Q40+Q47)*4/1000</f>
        <v>0</v>
      </c>
      <c r="R53" s="49">
        <f>(R10+R13+R16+R17+R33+R47)*4/1000</f>
        <v>0</v>
      </c>
      <c r="S53" s="49">
        <f>(S10+S13+S16+S17+S33+S40+S47)*4/1000</f>
        <v>0</v>
      </c>
      <c r="T53" s="49">
        <f t="shared" ref="T53:Y53" si="3">(T10+T13+T16+T17+T33+T40+T47)*4/1000</f>
        <v>0</v>
      </c>
      <c r="U53" s="49">
        <f t="shared" si="3"/>
        <v>0</v>
      </c>
      <c r="V53" s="49">
        <f t="shared" si="3"/>
        <v>0</v>
      </c>
      <c r="W53" s="49">
        <f t="shared" si="3"/>
        <v>0</v>
      </c>
      <c r="X53" s="49">
        <f t="shared" si="3"/>
        <v>0</v>
      </c>
      <c r="Y53" s="49">
        <f t="shared" si="3"/>
        <v>0</v>
      </c>
      <c r="Z53" s="49">
        <f t="shared" ref="Z53:AI53" si="4">(Z10+Z13+Z16+Z17+Z33+Z38+Z40+Z47+Z51)*4/1000</f>
        <v>0</v>
      </c>
      <c r="AA53" s="49">
        <f t="shared" si="4"/>
        <v>0</v>
      </c>
      <c r="AB53" s="49">
        <f t="shared" si="4"/>
        <v>0</v>
      </c>
      <c r="AC53" s="49">
        <f t="shared" si="4"/>
        <v>0</v>
      </c>
      <c r="AD53" s="49">
        <f t="shared" si="4"/>
        <v>0</v>
      </c>
      <c r="AE53" s="49">
        <f t="shared" si="4"/>
        <v>0</v>
      </c>
      <c r="AF53" s="49">
        <f t="shared" si="4"/>
        <v>0</v>
      </c>
      <c r="AG53" s="49">
        <f t="shared" si="4"/>
        <v>0</v>
      </c>
      <c r="AH53" s="49">
        <f>(AH10+AH13+AH16+AH17+AH33+AH38+AH40+AH47)*4/1000</f>
        <v>0</v>
      </c>
      <c r="AI53" s="49">
        <f>(AI10+AI13+AI16+AI17+AI33+AI38+AI40+AI47)*4/1000</f>
        <v>0</v>
      </c>
      <c r="AJ53" s="49">
        <f>(AJ13+AJ16+AJ17+AJ33+AJ38+AJ40+AJ47+AJ51)*4/1000</f>
        <v>0</v>
      </c>
      <c r="AK53" s="49">
        <f>(AK13+AK16+AK17+AK33+AK38+AK40+AK47+AK51)*4/1000</f>
        <v>0</v>
      </c>
      <c r="AL53" s="49">
        <f>(AL16+AL17+AL38+AL40+AL47+AL51+AL49+AL10+AL13)*4/1000</f>
        <v>-60.535499160000001</v>
      </c>
      <c r="AM53" s="49">
        <f>(AM10+AM17+AM38+AM40+AM47+AM51+AM50+AM16+AM13+AM30+AM33)*4/1000</f>
        <v>-2800.1054479999998</v>
      </c>
      <c r="AN53" s="49">
        <f>(AN10++AN16+AN17+AN38+AN40+AN47+AN51+AN49+AN50+AN33)*4/1000</f>
        <v>0</v>
      </c>
      <c r="AO53" s="49">
        <f>(AO10++AO16+AO17+AO38+AO40+AO47+AO51+AO49+AO50+AO33)*4/1000</f>
        <v>-1283.104284</v>
      </c>
      <c r="AP53" s="49">
        <f>(AP10++AP16+AP17+AP38+AP40+AP47+AP51+AP49+AP50+AP33)*4/1000</f>
        <v>-981.86776836000013</v>
      </c>
      <c r="AQ53" s="49">
        <f>(AQ10++AQ16+AQ17+AQ38+AQ40+AQ47+AQ51+AQ49+AQ50+AQ33)*4/1000</f>
        <v>-57.720896000000003</v>
      </c>
      <c r="AR53" s="49">
        <f t="shared" ref="AR53:CR53" si="5">(AR10+AR13+AR16+AR17+AR33+AR38+AR40+AR47+AR51)*4/1000</f>
        <v>0</v>
      </c>
      <c r="AS53" s="49">
        <f t="shared" si="5"/>
        <v>0</v>
      </c>
      <c r="AT53" s="49">
        <f t="shared" si="5"/>
        <v>0</v>
      </c>
      <c r="AU53" s="49">
        <f t="shared" si="5"/>
        <v>0</v>
      </c>
      <c r="AV53" s="49">
        <f>(AV10+AV13+AV16+AV17+AV33+AV38+AV40+AV47+AV51+AV50)*4/1000</f>
        <v>-0.38996399999999998</v>
      </c>
      <c r="AW53" s="49">
        <f>(AW10+AW13+AW16+AW17+AW33+AW38+AW40+AW47+AW51)*4/1000</f>
        <v>-141.27964799999995</v>
      </c>
      <c r="AX53" s="49">
        <f t="shared" si="5"/>
        <v>0</v>
      </c>
      <c r="AY53" s="49">
        <f t="shared" si="5"/>
        <v>-3.7092120000000004</v>
      </c>
      <c r="AZ53" s="49">
        <f t="shared" si="5"/>
        <v>0</v>
      </c>
      <c r="BA53" s="49">
        <f t="shared" si="5"/>
        <v>0</v>
      </c>
      <c r="BB53" s="49">
        <f t="shared" si="5"/>
        <v>0</v>
      </c>
      <c r="BC53" s="49">
        <f t="shared" si="5"/>
        <v>0</v>
      </c>
      <c r="BD53" s="49">
        <f t="shared" si="5"/>
        <v>0</v>
      </c>
      <c r="BE53" s="49">
        <f t="shared" si="5"/>
        <v>-480</v>
      </c>
      <c r="BF53" s="49">
        <f t="shared" si="5"/>
        <v>0</v>
      </c>
      <c r="BG53" s="49">
        <f t="shared" si="5"/>
        <v>0</v>
      </c>
      <c r="BH53" s="49">
        <f>(BH10+BH13+BH16+BH17+BH33+BH38+BH40+BH47+BH51)*4/1000</f>
        <v>-2.2335243600000001</v>
      </c>
      <c r="BI53" s="49">
        <f t="shared" si="5"/>
        <v>-416.82436519999999</v>
      </c>
      <c r="BJ53" s="49">
        <f t="shared" si="5"/>
        <v>-14.457167999999999</v>
      </c>
      <c r="BK53" s="49">
        <f t="shared" si="5"/>
        <v>-63610.208535999998</v>
      </c>
      <c r="BL53" s="49">
        <f t="shared" si="5"/>
        <v>0</v>
      </c>
      <c r="BM53" s="49">
        <f t="shared" si="5"/>
        <v>0</v>
      </c>
      <c r="BN53" s="49">
        <f t="shared" si="5"/>
        <v>0</v>
      </c>
      <c r="BO53" s="49">
        <f t="shared" si="5"/>
        <v>0</v>
      </c>
      <c r="BP53" s="49">
        <f t="shared" si="5"/>
        <v>0</v>
      </c>
      <c r="BQ53" s="49">
        <f t="shared" si="5"/>
        <v>0</v>
      </c>
      <c r="BR53" s="49">
        <f t="shared" si="5"/>
        <v>0</v>
      </c>
      <c r="BS53" s="49">
        <f t="shared" si="5"/>
        <v>0</v>
      </c>
      <c r="BT53" s="49">
        <f t="shared" si="5"/>
        <v>0</v>
      </c>
      <c r="BU53" s="49">
        <f t="shared" si="5"/>
        <v>0</v>
      </c>
      <c r="BV53" s="49">
        <f t="shared" si="5"/>
        <v>0</v>
      </c>
      <c r="BW53" s="49">
        <f t="shared" si="5"/>
        <v>0</v>
      </c>
      <c r="BX53" s="49">
        <f t="shared" si="5"/>
        <v>0</v>
      </c>
      <c r="BY53" s="49">
        <f t="shared" si="5"/>
        <v>0</v>
      </c>
      <c r="BZ53" s="49">
        <f>(BZ10+BZ13+BZ33+BZ47+BZ51)*4/1000</f>
        <v>0</v>
      </c>
      <c r="CA53" s="49">
        <f t="shared" si="5"/>
        <v>0</v>
      </c>
      <c r="CB53" s="49">
        <f t="shared" si="5"/>
        <v>0</v>
      </c>
      <c r="CC53" s="49">
        <f t="shared" si="5"/>
        <v>0</v>
      </c>
      <c r="CD53" s="49">
        <f t="shared" si="5"/>
        <v>0</v>
      </c>
      <c r="CE53" s="49">
        <f t="shared" si="5"/>
        <v>0</v>
      </c>
      <c r="CF53" s="49">
        <f t="shared" si="5"/>
        <v>0</v>
      </c>
      <c r="CG53" s="49">
        <f t="shared" si="5"/>
        <v>0</v>
      </c>
      <c r="CH53" s="49">
        <f t="shared" si="5"/>
        <v>0</v>
      </c>
      <c r="CI53" s="49">
        <f>(CI10+CI13+CI16+CI17+CI33+CI38+CI40+CI47+CI51+CI49)*4/1000</f>
        <v>-1784.26184096</v>
      </c>
      <c r="CJ53" s="49">
        <f t="shared" si="5"/>
        <v>0</v>
      </c>
      <c r="CK53" s="49">
        <f t="shared" si="5"/>
        <v>0</v>
      </c>
      <c r="CL53" s="49">
        <f t="shared" si="5"/>
        <v>0</v>
      </c>
      <c r="CM53" s="49">
        <f t="shared" si="5"/>
        <v>0</v>
      </c>
      <c r="CN53" s="49">
        <f t="shared" si="5"/>
        <v>0</v>
      </c>
      <c r="CO53" s="49">
        <f t="shared" si="5"/>
        <v>0</v>
      </c>
      <c r="CP53" s="49">
        <f t="shared" si="5"/>
        <v>0</v>
      </c>
      <c r="CQ53" s="49">
        <f t="shared" si="5"/>
        <v>0</v>
      </c>
      <c r="CR53" s="49">
        <f t="shared" si="5"/>
        <v>0</v>
      </c>
      <c r="CS53" s="49"/>
      <c r="CT53" s="49"/>
      <c r="CU53" s="49"/>
      <c r="CV53" s="49"/>
      <c r="CW53" s="26">
        <f t="shared" si="2"/>
        <v>-722774.28525424004</v>
      </c>
    </row>
    <row r="54" spans="1:101" x14ac:dyDescent="0.3">
      <c r="C54" s="50" t="s">
        <v>141</v>
      </c>
      <c r="D54" s="51">
        <f t="shared" ref="D54:AM54" si="6">SUM(D9:D53)</f>
        <v>642968.35</v>
      </c>
      <c r="E54" s="51">
        <f t="shared" si="6"/>
        <v>-208005622.2011722</v>
      </c>
      <c r="F54" s="51">
        <f>SUM(F9:F53)</f>
        <v>-41462111.915689997</v>
      </c>
      <c r="G54" s="51">
        <f t="shared" si="6"/>
        <v>0</v>
      </c>
      <c r="H54" s="51">
        <f t="shared" si="6"/>
        <v>0</v>
      </c>
      <c r="I54" s="51">
        <f t="shared" si="6"/>
        <v>-44604.471479999724</v>
      </c>
      <c r="J54" s="51">
        <f t="shared" si="6"/>
        <v>0</v>
      </c>
      <c r="K54" s="51">
        <f t="shared" si="6"/>
        <v>100002.67557200001</v>
      </c>
      <c r="L54" s="52">
        <f>SUM(L9:L53)</f>
        <v>-118560.69495478104</v>
      </c>
      <c r="M54" s="51">
        <f t="shared" si="6"/>
        <v>-38257.642535144019</v>
      </c>
      <c r="N54" s="51">
        <f t="shared" si="6"/>
        <v>-45</v>
      </c>
      <c r="O54" s="51">
        <f t="shared" si="6"/>
        <v>-175.86539999999999</v>
      </c>
      <c r="P54" s="51">
        <f t="shared" si="6"/>
        <v>1924282.5600000033</v>
      </c>
      <c r="Q54" s="51">
        <f t="shared" si="6"/>
        <v>7451210.2380048037</v>
      </c>
      <c r="R54" s="51">
        <f t="shared" si="6"/>
        <v>-379738.36</v>
      </c>
      <c r="S54" s="51">
        <f t="shared" si="6"/>
        <v>-868652.41350649984</v>
      </c>
      <c r="T54" s="51">
        <f t="shared" si="6"/>
        <v>58.31</v>
      </c>
      <c r="U54" s="51">
        <f t="shared" si="6"/>
        <v>245.5417041</v>
      </c>
      <c r="V54" s="51">
        <f t="shared" si="6"/>
        <v>8386167.7300000004</v>
      </c>
      <c r="W54" s="51">
        <f t="shared" si="6"/>
        <v>32093544.367519606</v>
      </c>
      <c r="X54" s="51">
        <f t="shared" si="6"/>
        <v>-496204.29000000004</v>
      </c>
      <c r="Y54" s="51">
        <f t="shared" si="6"/>
        <v>-1831292.3399349002</v>
      </c>
      <c r="Z54" s="51">
        <f t="shared" si="6"/>
        <v>0</v>
      </c>
      <c r="AA54" s="51">
        <f t="shared" si="6"/>
        <v>0</v>
      </c>
      <c r="AB54" s="51">
        <f t="shared" si="6"/>
        <v>0</v>
      </c>
      <c r="AC54" s="51">
        <f t="shared" si="6"/>
        <v>0</v>
      </c>
      <c r="AD54" s="51">
        <f t="shared" si="6"/>
        <v>0</v>
      </c>
      <c r="AE54" s="51">
        <f t="shared" si="6"/>
        <v>0</v>
      </c>
      <c r="AF54" s="51">
        <f t="shared" si="6"/>
        <v>0</v>
      </c>
      <c r="AG54" s="51">
        <f t="shared" si="6"/>
        <v>0</v>
      </c>
      <c r="AH54" s="51">
        <f t="shared" si="6"/>
        <v>-260944.48</v>
      </c>
      <c r="AI54" s="51">
        <f t="shared" si="6"/>
        <v>-1011370.6974786001</v>
      </c>
      <c r="AJ54" s="51">
        <f t="shared" si="6"/>
        <v>844.84</v>
      </c>
      <c r="AK54" s="51">
        <f t="shared" si="6"/>
        <v>3295.9658436000004</v>
      </c>
      <c r="AL54" s="51">
        <f t="shared" si="6"/>
        <v>-15194.41028916</v>
      </c>
      <c r="AM54" s="51">
        <f t="shared" si="6"/>
        <v>1172348.4047620001</v>
      </c>
      <c r="AN54" s="51">
        <f t="shared" ref="AN54:CV54" si="7">SUM(AN9:AN53)</f>
        <v>0</v>
      </c>
      <c r="AO54" s="51">
        <f t="shared" si="7"/>
        <v>-322059.175284</v>
      </c>
      <c r="AP54" s="51">
        <f t="shared" si="7"/>
        <v>-246448.80985836004</v>
      </c>
      <c r="AQ54" s="51">
        <f t="shared" si="7"/>
        <v>-14487.944896000001</v>
      </c>
      <c r="AR54" s="51">
        <f t="shared" si="7"/>
        <v>88.094999999999999</v>
      </c>
      <c r="AS54" s="51">
        <f t="shared" si="7"/>
        <v>1.7000000000000001E-2</v>
      </c>
      <c r="AT54" s="51">
        <f t="shared" si="7"/>
        <v>0.03</v>
      </c>
      <c r="AU54" s="51">
        <f t="shared" si="7"/>
        <v>34.847999999999999</v>
      </c>
      <c r="AV54" s="51">
        <f t="shared" si="7"/>
        <v>1294.8490360000001</v>
      </c>
      <c r="AW54" s="51">
        <f t="shared" si="7"/>
        <v>-35075.938507999992</v>
      </c>
      <c r="AX54" s="51">
        <f t="shared" si="7"/>
        <v>5.8297499999999998</v>
      </c>
      <c r="AY54" s="51">
        <f>SUM(AY9:AY53)</f>
        <v>4299797.1753080003</v>
      </c>
      <c r="AZ54" s="51">
        <f t="shared" si="7"/>
        <v>120.93404</v>
      </c>
      <c r="BA54" s="51">
        <f t="shared" si="7"/>
        <v>1015.6150000000001</v>
      </c>
      <c r="BB54" s="51">
        <f t="shared" si="7"/>
        <v>351.71699999999998</v>
      </c>
      <c r="BC54" s="51">
        <f t="shared" si="7"/>
        <v>1341.6410000000001</v>
      </c>
      <c r="BD54" s="51">
        <f t="shared" si="7"/>
        <v>85.711999999999975</v>
      </c>
      <c r="BE54" s="51">
        <f t="shared" si="7"/>
        <v>-120469.86937</v>
      </c>
      <c r="BF54" s="51">
        <f t="shared" si="7"/>
        <v>13.45492</v>
      </c>
      <c r="BG54" s="51">
        <f t="shared" si="7"/>
        <v>0.28754999999999997</v>
      </c>
      <c r="BH54" s="51">
        <f t="shared" si="7"/>
        <v>-562.66188435999993</v>
      </c>
      <c r="BI54" s="51">
        <f t="shared" si="7"/>
        <v>-116499.59578519998</v>
      </c>
      <c r="BJ54" s="51">
        <f t="shared" si="7"/>
        <v>-3327.7530579999998</v>
      </c>
      <c r="BK54" s="51">
        <f t="shared" si="7"/>
        <v>53200.652384000387</v>
      </c>
      <c r="BL54" s="51">
        <f t="shared" si="7"/>
        <v>595.0194399999998</v>
      </c>
      <c r="BM54" s="51">
        <f t="shared" si="7"/>
        <v>5640.9964799999989</v>
      </c>
      <c r="BN54" s="51">
        <f t="shared" si="7"/>
        <v>6427.1234599999989</v>
      </c>
      <c r="BO54" s="51">
        <f t="shared" si="7"/>
        <v>0</v>
      </c>
      <c r="BP54" s="51">
        <f t="shared" si="7"/>
        <v>1.4486699999999999</v>
      </c>
      <c r="BQ54" s="51">
        <f t="shared" si="7"/>
        <v>0</v>
      </c>
      <c r="BR54" s="51">
        <f t="shared" si="7"/>
        <v>1000000</v>
      </c>
      <c r="BS54" s="51">
        <f t="shared" si="7"/>
        <v>3897570</v>
      </c>
      <c r="BT54" s="51">
        <f t="shared" si="7"/>
        <v>6400000</v>
      </c>
      <c r="BU54" s="51">
        <f t="shared" si="7"/>
        <v>25007076</v>
      </c>
      <c r="BV54" s="51">
        <f t="shared" si="7"/>
        <v>0</v>
      </c>
      <c r="BW54" s="51">
        <f t="shared" si="7"/>
        <v>-43000</v>
      </c>
      <c r="BX54" s="51">
        <f t="shared" si="7"/>
        <v>0</v>
      </c>
      <c r="BY54" s="51">
        <f>SUM(BY9:BY53)</f>
        <v>800000</v>
      </c>
      <c r="BZ54" s="51">
        <f>SUM(BZ9:BZ53)</f>
        <v>66100000</v>
      </c>
      <c r="CA54" s="51">
        <f t="shared" si="7"/>
        <v>48150000</v>
      </c>
      <c r="CB54" s="51">
        <f t="shared" si="7"/>
        <v>0</v>
      </c>
      <c r="CC54" s="51">
        <f t="shared" si="7"/>
        <v>0</v>
      </c>
      <c r="CD54" s="51">
        <f t="shared" si="7"/>
        <v>0</v>
      </c>
      <c r="CE54" s="51">
        <f t="shared" si="7"/>
        <v>-18000</v>
      </c>
      <c r="CF54" s="51">
        <f t="shared" si="7"/>
        <v>-843000</v>
      </c>
      <c r="CG54" s="51">
        <f t="shared" si="7"/>
        <v>-34000</v>
      </c>
      <c r="CH54" s="51">
        <f t="shared" si="7"/>
        <v>0</v>
      </c>
      <c r="CI54" s="51">
        <f t="shared" si="7"/>
        <v>-339849.72208096</v>
      </c>
      <c r="CJ54" s="51">
        <f t="shared" si="7"/>
        <v>-848000</v>
      </c>
      <c r="CK54" s="51">
        <f t="shared" si="7"/>
        <v>0</v>
      </c>
      <c r="CL54" s="51">
        <f t="shared" si="7"/>
        <v>0</v>
      </c>
      <c r="CM54" s="51">
        <f t="shared" si="7"/>
        <v>0</v>
      </c>
      <c r="CN54" s="51">
        <f t="shared" si="7"/>
        <v>0</v>
      </c>
      <c r="CO54" s="51">
        <f t="shared" si="7"/>
        <v>0</v>
      </c>
      <c r="CP54" s="51">
        <f t="shared" si="7"/>
        <v>0</v>
      </c>
      <c r="CQ54" s="51">
        <f t="shared" si="7"/>
        <v>0</v>
      </c>
      <c r="CR54" s="51">
        <f t="shared" si="7"/>
        <v>-874000</v>
      </c>
      <c r="CS54" s="51">
        <f t="shared" si="7"/>
        <v>0</v>
      </c>
      <c r="CT54" s="51">
        <f t="shared" si="7"/>
        <v>0</v>
      </c>
      <c r="CU54" s="51">
        <f t="shared" si="7"/>
        <v>0</v>
      </c>
      <c r="CV54" s="51">
        <f t="shared" si="7"/>
        <v>0</v>
      </c>
      <c r="CW54" s="51">
        <f t="shared" si="2"/>
        <v>-67466347.133722067</v>
      </c>
    </row>
    <row r="55" spans="1:101" s="53" customFormat="1" x14ac:dyDescent="0.3">
      <c r="B55" s="54"/>
      <c r="C55" s="55" t="s">
        <v>142</v>
      </c>
      <c r="D55" s="56">
        <f t="shared" ref="D55:BS55" si="8">+D8+D54</f>
        <v>376752.12027994503</v>
      </c>
      <c r="E55" s="56">
        <f t="shared" si="8"/>
        <v>31333549.721253991</v>
      </c>
      <c r="F55" s="56">
        <f>+F8+F54</f>
        <v>12162653.7285944</v>
      </c>
      <c r="G55" s="56">
        <f t="shared" si="8"/>
        <v>0</v>
      </c>
      <c r="H55" s="56">
        <f t="shared" si="8"/>
        <v>0</v>
      </c>
      <c r="I55" s="56">
        <f t="shared" si="8"/>
        <v>30337.808484578614</v>
      </c>
      <c r="J55" s="56">
        <f t="shared" si="8"/>
        <v>0</v>
      </c>
      <c r="K55" s="56">
        <f t="shared" si="8"/>
        <v>163081.68768414299</v>
      </c>
      <c r="L55" s="56">
        <f t="shared" si="8"/>
        <v>107862.15520813485</v>
      </c>
      <c r="M55" s="56">
        <f t="shared" si="8"/>
        <v>64000.538409593028</v>
      </c>
      <c r="N55" s="56">
        <f t="shared" si="8"/>
        <v>120777.5199999999</v>
      </c>
      <c r="O55" s="56">
        <f t="shared" si="8"/>
        <v>485338.55719319958</v>
      </c>
      <c r="P55" s="56">
        <f t="shared" si="8"/>
        <v>2124114.3534668693</v>
      </c>
      <c r="Q55" s="56">
        <f t="shared" si="8"/>
        <v>8254216.315189993</v>
      </c>
      <c r="R55" s="56">
        <f t="shared" si="8"/>
        <v>118020.93450999976</v>
      </c>
      <c r="S55" s="56">
        <f t="shared" si="8"/>
        <v>1131548.5131454282</v>
      </c>
      <c r="T55" s="56">
        <f t="shared" si="8"/>
        <v>56575.25</v>
      </c>
      <c r="U55" s="56">
        <f t="shared" si="8"/>
        <v>227353.77856949999</v>
      </c>
      <c r="V55" s="56">
        <f t="shared" si="8"/>
        <v>46416370.969999999</v>
      </c>
      <c r="W55" s="56">
        <f t="shared" si="8"/>
        <v>184914493.36916798</v>
      </c>
      <c r="X55" s="56">
        <f t="shared" si="8"/>
        <v>905509.10000000009</v>
      </c>
      <c r="Y55" s="56">
        <f t="shared" si="8"/>
        <v>3801366.7635749998</v>
      </c>
      <c r="Z55" s="56">
        <f t="shared" si="8"/>
        <v>9662.5274983807467</v>
      </c>
      <c r="AA55" s="56">
        <f t="shared" si="8"/>
        <v>38827.997124768175</v>
      </c>
      <c r="AB55" s="56">
        <f t="shared" si="8"/>
        <v>7542.7499999967404</v>
      </c>
      <c r="AC55" s="56">
        <f t="shared" si="8"/>
        <v>30309.862027486903</v>
      </c>
      <c r="AD55" s="56">
        <f t="shared" si="8"/>
        <v>5155</v>
      </c>
      <c r="AE55" s="56">
        <f t="shared" si="8"/>
        <v>20714.903549999999</v>
      </c>
      <c r="AF55" s="56">
        <f t="shared" si="8"/>
        <v>7956.8699999451637</v>
      </c>
      <c r="AG55" s="56">
        <f t="shared" si="8"/>
        <v>31973.965976479645</v>
      </c>
      <c r="AH55" s="56">
        <f t="shared" si="8"/>
        <v>21297.839999997261</v>
      </c>
      <c r="AI55" s="56">
        <f t="shared" si="8"/>
        <v>122794.66363258869</v>
      </c>
      <c r="AJ55" s="56">
        <f t="shared" si="8"/>
        <v>676740.54999999818</v>
      </c>
      <c r="AK55" s="56">
        <f t="shared" si="8"/>
        <v>2719322.0458646929</v>
      </c>
      <c r="AL55" s="56">
        <f t="shared" si="8"/>
        <v>15491120.253875241</v>
      </c>
      <c r="AM55" s="56">
        <f t="shared" si="8"/>
        <v>97424255.409775347</v>
      </c>
      <c r="AN55" s="56">
        <f t="shared" si="8"/>
        <v>4653997.6544600008</v>
      </c>
      <c r="AO55" s="56">
        <f t="shared" si="8"/>
        <v>545294.27451144008</v>
      </c>
      <c r="AP55" s="56">
        <f t="shared" si="8"/>
        <v>10527632.259090146</v>
      </c>
      <c r="AQ55" s="56">
        <f t="shared" si="8"/>
        <v>1720700.1950621631</v>
      </c>
      <c r="AR55" s="56">
        <f t="shared" si="8"/>
        <v>33555.201463993006</v>
      </c>
      <c r="AS55" s="56">
        <f t="shared" si="8"/>
        <v>6.3589079996137476</v>
      </c>
      <c r="AT55" s="56">
        <f t="shared" si="8"/>
        <v>11.356432002509914</v>
      </c>
      <c r="AU55" s="56">
        <f t="shared" si="8"/>
        <v>70887.413203997276</v>
      </c>
      <c r="AV55" s="56">
        <f t="shared" si="8"/>
        <v>530392.61963880272</v>
      </c>
      <c r="AW55" s="56">
        <f t="shared" si="8"/>
        <v>52394.595041996814</v>
      </c>
      <c r="AX55" s="56">
        <f t="shared" si="8"/>
        <v>1070.4258740010878</v>
      </c>
      <c r="AY55" s="56">
        <f t="shared" si="8"/>
        <v>4481106.2164080003</v>
      </c>
      <c r="AZ55" s="56">
        <f t="shared" si="8"/>
        <v>23877.858177323233</v>
      </c>
      <c r="BA55" s="56">
        <f t="shared" si="8"/>
        <v>206881.56672400693</v>
      </c>
      <c r="BB55" s="56">
        <f t="shared" si="8"/>
        <v>71641.903219991174</v>
      </c>
      <c r="BC55" s="56">
        <f t="shared" si="8"/>
        <v>273290.29684799863</v>
      </c>
      <c r="BD55" s="56">
        <f t="shared" si="8"/>
        <v>17461.39559998985</v>
      </c>
      <c r="BE55" s="56">
        <f t="shared" si="8"/>
        <v>136146.99715368054</v>
      </c>
      <c r="BF55" s="56">
        <f t="shared" si="8"/>
        <v>294827.49323035986</v>
      </c>
      <c r="BG55" s="56">
        <f t="shared" si="8"/>
        <v>35110.695568882758</v>
      </c>
      <c r="BH55" s="56">
        <f t="shared" si="8"/>
        <v>24042.4989156421</v>
      </c>
      <c r="BI55" s="56">
        <f t="shared" si="8"/>
        <v>91228.305224800017</v>
      </c>
      <c r="BJ55" s="56">
        <f t="shared" si="8"/>
        <v>150682.8502225602</v>
      </c>
      <c r="BK55" s="56">
        <f t="shared" si="8"/>
        <v>4891122.7749120137</v>
      </c>
      <c r="BL55" s="56">
        <f t="shared" si="8"/>
        <v>115587.79774244607</v>
      </c>
      <c r="BM55" s="56">
        <f t="shared" si="8"/>
        <v>1095815.2594571637</v>
      </c>
      <c r="BN55" s="56">
        <f t="shared" si="8"/>
        <v>1248527.302397382</v>
      </c>
      <c r="BO55" s="56">
        <f t="shared" si="8"/>
        <v>3.4691202304202307E-3</v>
      </c>
      <c r="BP55" s="56">
        <f t="shared" si="8"/>
        <v>262.15716932906537</v>
      </c>
      <c r="BQ55" s="56">
        <f t="shared" si="8"/>
        <v>4.0128798844989433E-3</v>
      </c>
      <c r="BR55" s="56">
        <f t="shared" si="8"/>
        <v>608865.99600000342</v>
      </c>
      <c r="BS55" s="56">
        <f t="shared" si="8"/>
        <v>2375362.8371134894</v>
      </c>
      <c r="BT55" s="56">
        <f t="shared" ref="BT55:CV55" si="9">+BT8+BT54</f>
        <v>249049.38493201789</v>
      </c>
      <c r="BU55" s="56">
        <f t="shared" si="9"/>
        <v>971613.85179008171</v>
      </c>
      <c r="BV55" s="56">
        <f t="shared" si="9"/>
        <v>8990.2238600000001</v>
      </c>
      <c r="BW55" s="56">
        <f t="shared" si="9"/>
        <v>159348.913</v>
      </c>
      <c r="BX55" s="56">
        <f t="shared" si="9"/>
        <v>22663.665000000001</v>
      </c>
      <c r="BY55" s="56">
        <f t="shared" si="9"/>
        <v>1350287.7419400006</v>
      </c>
      <c r="BZ55" s="56">
        <f t="shared" si="9"/>
        <v>2531994.7101400048</v>
      </c>
      <c r="CA55" s="56">
        <f t="shared" si="9"/>
        <v>6763572.900789991</v>
      </c>
      <c r="CB55" s="56">
        <f t="shared" si="9"/>
        <v>20118.565999999999</v>
      </c>
      <c r="CC55" s="56">
        <f t="shared" si="9"/>
        <v>1116667.219</v>
      </c>
      <c r="CD55" s="56">
        <f t="shared" si="9"/>
        <v>0</v>
      </c>
      <c r="CE55" s="56">
        <f t="shared" si="9"/>
        <v>2.9999999933352228E-3</v>
      </c>
      <c r="CF55" s="56">
        <f t="shared" si="9"/>
        <v>711604.58059999999</v>
      </c>
      <c r="CG55" s="56">
        <f t="shared" si="9"/>
        <v>412503.07150000002</v>
      </c>
      <c r="CH55" s="56">
        <f t="shared" si="9"/>
        <v>2.9318200000000001</v>
      </c>
      <c r="CI55" s="56">
        <f t="shared" si="9"/>
        <v>847565.77999999933</v>
      </c>
      <c r="CJ55" s="56">
        <f t="shared" si="9"/>
        <v>317623.69782999973</v>
      </c>
      <c r="CK55" s="56">
        <f t="shared" si="9"/>
        <v>0</v>
      </c>
      <c r="CL55" s="56">
        <f t="shared" si="9"/>
        <v>0</v>
      </c>
      <c r="CM55" s="56">
        <f t="shared" si="9"/>
        <v>79545.207070000004</v>
      </c>
      <c r="CN55" s="56">
        <f t="shared" si="9"/>
        <v>647657.33605000004</v>
      </c>
      <c r="CO55" s="56">
        <f t="shared" si="9"/>
        <v>736470.83175999951</v>
      </c>
      <c r="CP55" s="56">
        <f t="shared" si="9"/>
        <v>9152723.6727600005</v>
      </c>
      <c r="CQ55" s="56">
        <f t="shared" si="9"/>
        <v>377715.39094000001</v>
      </c>
      <c r="CR55" s="56">
        <f t="shared" si="9"/>
        <v>16628.366360000335</v>
      </c>
      <c r="CS55" s="56">
        <f t="shared" si="9"/>
        <v>5014.3599999999988</v>
      </c>
      <c r="CT55" s="56">
        <f t="shared" si="9"/>
        <v>19562.465106399995</v>
      </c>
      <c r="CU55" s="56">
        <f t="shared" si="9"/>
        <v>5014.3599999999988</v>
      </c>
      <c r="CV55" s="56">
        <f t="shared" si="9"/>
        <v>19562.465106399995</v>
      </c>
      <c r="CW55" s="56">
        <f t="shared" si="2"/>
        <v>418885216.31725889</v>
      </c>
    </row>
    <row r="56" spans="1:101" x14ac:dyDescent="0.3">
      <c r="D56" s="63">
        <v>376752.12027994508</v>
      </c>
      <c r="E56" s="63">
        <v>31333549.721254047</v>
      </c>
      <c r="F56" s="63">
        <v>12162653.7285944</v>
      </c>
      <c r="G56" s="63">
        <v>0</v>
      </c>
      <c r="H56" s="63">
        <v>0</v>
      </c>
      <c r="I56" s="63">
        <v>30337.808484578629</v>
      </c>
      <c r="J56" s="63">
        <v>0</v>
      </c>
      <c r="K56" s="175">
        <v>163081.68768414296</v>
      </c>
      <c r="L56" s="175">
        <v>107862.15520815272</v>
      </c>
      <c r="M56" s="175">
        <v>64000.538409478322</v>
      </c>
      <c r="N56" s="63">
        <v>120777.5199999999</v>
      </c>
      <c r="O56" s="176">
        <v>485338.55719319958</v>
      </c>
      <c r="P56" s="63">
        <v>2124114.3534668665</v>
      </c>
      <c r="Q56" s="63">
        <v>8254216.3151899921</v>
      </c>
      <c r="R56" s="63">
        <v>118020.93451000052</v>
      </c>
      <c r="S56" s="63">
        <v>1131548.5131454263</v>
      </c>
      <c r="T56" s="63">
        <v>56575.250000000007</v>
      </c>
      <c r="U56" s="63">
        <v>227353.77856949999</v>
      </c>
      <c r="V56" s="63">
        <v>46416370.969999991</v>
      </c>
      <c r="W56" s="63">
        <v>184914493.36916795</v>
      </c>
      <c r="X56" s="63">
        <v>905509.09999999963</v>
      </c>
      <c r="Y56" s="63">
        <v>3801366.7635749988</v>
      </c>
      <c r="Z56" s="63">
        <v>9662.5274983807467</v>
      </c>
      <c r="AA56" s="63">
        <v>38827.997124768175</v>
      </c>
      <c r="AB56" s="63">
        <v>7542.7499999967404</v>
      </c>
      <c r="AC56" s="63">
        <v>30309.862027486903</v>
      </c>
      <c r="AD56" s="63">
        <v>5155</v>
      </c>
      <c r="AE56" s="63">
        <v>20714.903549999999</v>
      </c>
      <c r="AF56" s="63">
        <v>7956.8699999451637</v>
      </c>
      <c r="AG56" s="63">
        <v>31973.965976479645</v>
      </c>
      <c r="AH56" s="63">
        <v>21297.839999997261</v>
      </c>
      <c r="AI56" s="63">
        <v>122794.66363258875</v>
      </c>
      <c r="AJ56" s="63">
        <v>676740.54999999818</v>
      </c>
      <c r="AK56" s="63">
        <v>2719322.0458646929</v>
      </c>
      <c r="AL56" s="63">
        <v>15491120.253875243</v>
      </c>
      <c r="AM56" s="63">
        <v>97424255.409775347</v>
      </c>
      <c r="AN56" s="63">
        <v>4653997.6544600008</v>
      </c>
      <c r="AO56" s="63">
        <v>545294.27451143996</v>
      </c>
      <c r="AP56" s="63">
        <v>10527632.259090144</v>
      </c>
      <c r="AQ56" s="63">
        <v>1720700.1950621631</v>
      </c>
      <c r="AR56" s="63">
        <v>33555.201463993006</v>
      </c>
      <c r="AS56" s="63">
        <v>6.3589079996137476</v>
      </c>
      <c r="AT56" s="63">
        <v>11.356432002509914</v>
      </c>
      <c r="AU56" s="63">
        <v>70887.413203997276</v>
      </c>
      <c r="AV56" s="63">
        <v>530392.61963880272</v>
      </c>
      <c r="AW56" s="63">
        <v>52394.595041996792</v>
      </c>
      <c r="AX56" s="63">
        <v>1070.4258740010878</v>
      </c>
      <c r="AY56" s="63">
        <v>4481106.2164079994</v>
      </c>
      <c r="AZ56" s="63">
        <v>23877.858177323233</v>
      </c>
      <c r="BA56" s="63">
        <v>206881.56672400681</v>
      </c>
      <c r="BB56" s="63">
        <v>71641.903219991174</v>
      </c>
      <c r="BC56" s="63">
        <v>273290.29684799851</v>
      </c>
      <c r="BD56" s="63">
        <v>17461.39559998985</v>
      </c>
      <c r="BE56" s="63">
        <v>136146.99715368054</v>
      </c>
      <c r="BF56" s="63">
        <v>294827.49323035986</v>
      </c>
      <c r="BG56" s="63">
        <v>35110.695568882758</v>
      </c>
      <c r="BH56" s="63">
        <v>24042.4989156421</v>
      </c>
      <c r="BI56" s="63">
        <v>91228.305224800017</v>
      </c>
      <c r="BJ56" s="63">
        <v>150682.8502225602</v>
      </c>
      <c r="BK56" s="63">
        <v>4891122.7749120118</v>
      </c>
      <c r="BL56" s="63">
        <v>115587.79774244607</v>
      </c>
      <c r="BM56" s="63">
        <v>1095815.2594571637</v>
      </c>
      <c r="BN56" s="63">
        <v>1248527.302397382</v>
      </c>
      <c r="BO56" s="63">
        <v>3.4691202304202307E-3</v>
      </c>
      <c r="BP56" s="63">
        <v>262.15716932906548</v>
      </c>
      <c r="BQ56" s="63">
        <v>4.0128798844989433E-3</v>
      </c>
      <c r="BR56" s="63">
        <v>608865.99600000354</v>
      </c>
      <c r="BS56" s="63">
        <v>2375362.8371134894</v>
      </c>
      <c r="BT56" s="63">
        <v>249049.38493201789</v>
      </c>
      <c r="BU56" s="63">
        <v>971613.85179008869</v>
      </c>
      <c r="BV56" s="63">
        <v>8990.2238600000001</v>
      </c>
      <c r="BW56" s="63">
        <v>159348.913</v>
      </c>
      <c r="BX56" s="70">
        <v>22663.665000000001</v>
      </c>
      <c r="BY56" s="70">
        <v>1350287.7419400006</v>
      </c>
      <c r="BZ56" s="70">
        <v>2531994.7101399908</v>
      </c>
      <c r="CA56" s="70">
        <v>6763572.9007899938</v>
      </c>
      <c r="CB56" s="70">
        <v>20118.565999999999</v>
      </c>
      <c r="CC56" s="70">
        <v>1116667.219</v>
      </c>
      <c r="CD56" s="70">
        <v>0</v>
      </c>
      <c r="CE56" s="70">
        <v>2.9999999933352228E-3</v>
      </c>
      <c r="CF56" s="70">
        <v>711604.58059999999</v>
      </c>
      <c r="CG56" s="70">
        <v>412503.07150000002</v>
      </c>
      <c r="CH56" s="70">
        <v>2.9318200000000001</v>
      </c>
      <c r="CI56" s="70">
        <v>847565.77999999921</v>
      </c>
      <c r="CJ56" s="70">
        <v>317623.69782999979</v>
      </c>
      <c r="CK56" s="63">
        <v>0</v>
      </c>
      <c r="CL56" s="63">
        <v>0</v>
      </c>
      <c r="CM56" s="63">
        <v>79545.207070000004</v>
      </c>
      <c r="CN56" s="63">
        <v>647657.33605000004</v>
      </c>
      <c r="CO56" s="63">
        <v>736470.83175999951</v>
      </c>
      <c r="CP56" s="63">
        <v>9152723.6727600005</v>
      </c>
      <c r="CQ56" s="63">
        <v>377715.39094000001</v>
      </c>
      <c r="CR56" s="63">
        <v>16628.366360000371</v>
      </c>
      <c r="CS56" s="63">
        <v>5014.3599999999988</v>
      </c>
      <c r="CT56" s="63">
        <v>19562.465106399995</v>
      </c>
      <c r="CU56" s="63">
        <v>5014.3599999999988</v>
      </c>
      <c r="CV56" s="63">
        <v>19562.465106399995</v>
      </c>
    </row>
    <row r="57" spans="1:101" x14ac:dyDescent="0.3">
      <c r="D57" s="63">
        <f>+D56-D55</f>
        <v>0</v>
      </c>
      <c r="E57" s="63">
        <f t="shared" ref="E57:BP57" si="10">+E56-E55</f>
        <v>5.5879354476928711E-8</v>
      </c>
      <c r="F57" s="63">
        <f t="shared" si="10"/>
        <v>0</v>
      </c>
      <c r="G57" s="63">
        <f t="shared" si="10"/>
        <v>0</v>
      </c>
      <c r="H57" s="63">
        <f t="shared" si="10"/>
        <v>0</v>
      </c>
      <c r="I57" s="63">
        <f t="shared" si="10"/>
        <v>0</v>
      </c>
      <c r="J57" s="63">
        <f t="shared" si="10"/>
        <v>0</v>
      </c>
      <c r="K57" s="63">
        <f t="shared" si="10"/>
        <v>0</v>
      </c>
      <c r="L57" s="63">
        <f t="shared" si="10"/>
        <v>1.7869751900434494E-8</v>
      </c>
      <c r="M57" s="63">
        <f t="shared" si="10"/>
        <v>-1.1470547178760171E-7</v>
      </c>
      <c r="N57" s="63">
        <f t="shared" si="10"/>
        <v>0</v>
      </c>
      <c r="O57" s="63">
        <f t="shared" si="10"/>
        <v>0</v>
      </c>
      <c r="P57" s="63">
        <f t="shared" si="10"/>
        <v>0</v>
      </c>
      <c r="Q57" s="63">
        <f t="shared" si="10"/>
        <v>0</v>
      </c>
      <c r="R57" s="63">
        <f t="shared" si="10"/>
        <v>7.5669959187507629E-10</v>
      </c>
      <c r="S57" s="63">
        <f t="shared" si="10"/>
        <v>-1.862645149230957E-9</v>
      </c>
      <c r="T57" s="63">
        <f t="shared" si="10"/>
        <v>0</v>
      </c>
      <c r="U57" s="63">
        <f t="shared" si="10"/>
        <v>0</v>
      </c>
      <c r="V57" s="63">
        <f t="shared" si="10"/>
        <v>0</v>
      </c>
      <c r="W57" s="63">
        <f t="shared" si="10"/>
        <v>0</v>
      </c>
      <c r="X57" s="63">
        <f t="shared" si="10"/>
        <v>0</v>
      </c>
      <c r="Y57" s="63">
        <f t="shared" si="10"/>
        <v>0</v>
      </c>
      <c r="Z57" s="63">
        <f t="shared" si="10"/>
        <v>0</v>
      </c>
      <c r="AA57" s="63">
        <f t="shared" si="10"/>
        <v>0</v>
      </c>
      <c r="AB57" s="63">
        <f t="shared" si="10"/>
        <v>0</v>
      </c>
      <c r="AC57" s="63">
        <f t="shared" si="10"/>
        <v>0</v>
      </c>
      <c r="AD57" s="63">
        <f t="shared" si="10"/>
        <v>0</v>
      </c>
      <c r="AE57" s="63">
        <f t="shared" si="10"/>
        <v>0</v>
      </c>
      <c r="AF57" s="63">
        <f t="shared" si="10"/>
        <v>0</v>
      </c>
      <c r="AG57" s="63">
        <f t="shared" si="10"/>
        <v>0</v>
      </c>
      <c r="AH57" s="63">
        <f t="shared" si="10"/>
        <v>0</v>
      </c>
      <c r="AI57" s="63">
        <f t="shared" si="10"/>
        <v>0</v>
      </c>
      <c r="AJ57" s="63">
        <f t="shared" si="10"/>
        <v>0</v>
      </c>
      <c r="AK57" s="63">
        <f t="shared" si="10"/>
        <v>0</v>
      </c>
      <c r="AL57" s="63">
        <f t="shared" si="10"/>
        <v>0</v>
      </c>
      <c r="AM57" s="63">
        <f t="shared" si="10"/>
        <v>0</v>
      </c>
      <c r="AN57" s="63">
        <f t="shared" si="10"/>
        <v>0</v>
      </c>
      <c r="AO57" s="63">
        <f t="shared" si="10"/>
        <v>0</v>
      </c>
      <c r="AP57" s="63">
        <f t="shared" si="10"/>
        <v>0</v>
      </c>
      <c r="AQ57" s="63">
        <f t="shared" si="10"/>
        <v>0</v>
      </c>
      <c r="AR57" s="63">
        <f t="shared" si="10"/>
        <v>0</v>
      </c>
      <c r="AS57" s="63">
        <f t="shared" si="10"/>
        <v>0</v>
      </c>
      <c r="AT57" s="63">
        <f t="shared" si="10"/>
        <v>0</v>
      </c>
      <c r="AU57" s="63">
        <f t="shared" si="10"/>
        <v>0</v>
      </c>
      <c r="AV57" s="63">
        <f t="shared" si="10"/>
        <v>0</v>
      </c>
      <c r="AW57" s="63">
        <f t="shared" si="10"/>
        <v>0</v>
      </c>
      <c r="AX57" s="63">
        <f t="shared" si="10"/>
        <v>0</v>
      </c>
      <c r="AY57" s="63">
        <f t="shared" si="10"/>
        <v>0</v>
      </c>
      <c r="AZ57" s="63">
        <f t="shared" si="10"/>
        <v>0</v>
      </c>
      <c r="BA57" s="63">
        <f t="shared" si="10"/>
        <v>0</v>
      </c>
      <c r="BB57" s="63">
        <f t="shared" si="10"/>
        <v>0</v>
      </c>
      <c r="BC57" s="63">
        <f t="shared" si="10"/>
        <v>0</v>
      </c>
      <c r="BD57" s="63">
        <f t="shared" si="10"/>
        <v>0</v>
      </c>
      <c r="BE57" s="63">
        <f t="shared" si="10"/>
        <v>0</v>
      </c>
      <c r="BF57" s="63">
        <f t="shared" si="10"/>
        <v>0</v>
      </c>
      <c r="BG57" s="63">
        <f t="shared" si="10"/>
        <v>0</v>
      </c>
      <c r="BH57" s="63">
        <f t="shared" si="10"/>
        <v>0</v>
      </c>
      <c r="BI57" s="63">
        <f t="shared" si="10"/>
        <v>0</v>
      </c>
      <c r="BJ57" s="63">
        <f t="shared" si="10"/>
        <v>0</v>
      </c>
      <c r="BK57" s="63">
        <f t="shared" si="10"/>
        <v>0</v>
      </c>
      <c r="BL57" s="63">
        <f t="shared" si="10"/>
        <v>0</v>
      </c>
      <c r="BM57" s="63">
        <f t="shared" si="10"/>
        <v>0</v>
      </c>
      <c r="BN57" s="63">
        <f t="shared" si="10"/>
        <v>0</v>
      </c>
      <c r="BO57" s="63">
        <f t="shared" si="10"/>
        <v>0</v>
      </c>
      <c r="BP57" s="63">
        <f t="shared" si="10"/>
        <v>0</v>
      </c>
      <c r="BQ57" s="63">
        <f t="shared" ref="BQ57:CV57" si="11">+BQ56-BQ55</f>
        <v>0</v>
      </c>
      <c r="BR57" s="63">
        <f t="shared" si="11"/>
        <v>0</v>
      </c>
      <c r="BS57" s="63">
        <f t="shared" si="11"/>
        <v>0</v>
      </c>
      <c r="BT57" s="63">
        <f t="shared" si="11"/>
        <v>0</v>
      </c>
      <c r="BU57" s="63">
        <f t="shared" si="11"/>
        <v>6.9849193096160889E-9</v>
      </c>
      <c r="BV57" s="63">
        <f t="shared" si="11"/>
        <v>0</v>
      </c>
      <c r="BW57" s="63">
        <f t="shared" si="11"/>
        <v>0</v>
      </c>
      <c r="BX57" s="63">
        <f t="shared" si="11"/>
        <v>0</v>
      </c>
      <c r="BY57" s="63">
        <f t="shared" si="11"/>
        <v>0</v>
      </c>
      <c r="BZ57" s="63">
        <f t="shared" si="11"/>
        <v>-1.3969838619232178E-8</v>
      </c>
      <c r="CA57" s="63">
        <f t="shared" si="11"/>
        <v>0</v>
      </c>
      <c r="CB57" s="63">
        <f t="shared" si="11"/>
        <v>0</v>
      </c>
      <c r="CC57" s="63">
        <f t="shared" si="11"/>
        <v>0</v>
      </c>
      <c r="CD57" s="63">
        <f t="shared" si="11"/>
        <v>0</v>
      </c>
      <c r="CE57" s="63">
        <f t="shared" si="11"/>
        <v>0</v>
      </c>
      <c r="CF57" s="63">
        <f t="shared" si="11"/>
        <v>0</v>
      </c>
      <c r="CG57" s="63">
        <f t="shared" si="11"/>
        <v>0</v>
      </c>
      <c r="CH57" s="63">
        <f t="shared" si="11"/>
        <v>0</v>
      </c>
      <c r="CI57" s="63">
        <f t="shared" si="11"/>
        <v>0</v>
      </c>
      <c r="CJ57" s="63">
        <f t="shared" si="11"/>
        <v>0</v>
      </c>
      <c r="CK57" s="63">
        <f t="shared" si="11"/>
        <v>0</v>
      </c>
      <c r="CL57" s="63">
        <f t="shared" si="11"/>
        <v>0</v>
      </c>
      <c r="CM57" s="63">
        <f t="shared" si="11"/>
        <v>0</v>
      </c>
      <c r="CN57" s="63">
        <f t="shared" si="11"/>
        <v>0</v>
      </c>
      <c r="CO57" s="63">
        <f t="shared" si="11"/>
        <v>0</v>
      </c>
      <c r="CP57" s="63">
        <f t="shared" si="11"/>
        <v>0</v>
      </c>
      <c r="CQ57" s="63">
        <f t="shared" si="11"/>
        <v>0</v>
      </c>
      <c r="CR57" s="63">
        <f t="shared" si="11"/>
        <v>3.637978807091713E-11</v>
      </c>
      <c r="CS57" s="63">
        <f t="shared" si="11"/>
        <v>0</v>
      </c>
      <c r="CT57" s="63">
        <f t="shared" si="11"/>
        <v>0</v>
      </c>
      <c r="CU57" s="63">
        <f t="shared" si="11"/>
        <v>0</v>
      </c>
      <c r="CV57" s="63">
        <f t="shared" si="11"/>
        <v>0</v>
      </c>
    </row>
    <row r="58" spans="1:101" x14ac:dyDescent="0.3">
      <c r="C58" s="3" t="s">
        <v>144</v>
      </c>
      <c r="D58" s="76" t="s">
        <v>145</v>
      </c>
      <c r="E58" s="76" t="s">
        <v>146</v>
      </c>
      <c r="F58" s="76" t="s">
        <v>147</v>
      </c>
      <c r="G58" s="62"/>
      <c r="H58" s="57"/>
      <c r="I58" s="77"/>
      <c r="J58" s="66"/>
      <c r="L58" s="62"/>
      <c r="N58" s="67"/>
      <c r="O58" s="67"/>
      <c r="P58" s="152"/>
      <c r="Q58" s="71"/>
      <c r="R58" s="67"/>
      <c r="S58" s="67"/>
      <c r="T58" s="67"/>
      <c r="U58" s="67"/>
      <c r="V58" s="67"/>
      <c r="W58" s="67"/>
      <c r="X58" s="67"/>
      <c r="Y58" s="67"/>
      <c r="Z58" s="67"/>
      <c r="AA58" s="57"/>
      <c r="AJ58" s="71"/>
      <c r="AK58" s="78"/>
      <c r="AL58" s="79"/>
      <c r="AM58" s="67"/>
      <c r="AN58" s="71"/>
      <c r="AO58" s="67"/>
      <c r="AP58" s="67"/>
      <c r="AQ58" s="67"/>
      <c r="BL58" s="80"/>
      <c r="BM58" s="80"/>
      <c r="BN58" s="57"/>
      <c r="BO58" s="57"/>
      <c r="BP58" s="80"/>
      <c r="BQ58" s="57"/>
      <c r="BX58" s="156"/>
      <c r="BY58" s="67"/>
      <c r="BZ58" s="67"/>
      <c r="CA58" s="67"/>
      <c r="CB58" s="67"/>
      <c r="CC58" s="71"/>
      <c r="CD58" s="71"/>
      <c r="CE58" s="71"/>
      <c r="CF58" s="71"/>
      <c r="CG58" s="71"/>
      <c r="CH58" s="71"/>
      <c r="CI58" s="67"/>
      <c r="CJ58" s="67"/>
      <c r="CK58" s="57"/>
      <c r="CL58" s="57"/>
      <c r="CM58" s="57"/>
      <c r="CN58" s="57"/>
      <c r="CO58" s="57"/>
      <c r="CP58" s="57"/>
      <c r="CQ58" s="57"/>
    </row>
    <row r="59" spans="1:101" x14ac:dyDescent="0.3">
      <c r="D59" s="62"/>
      <c r="E59" s="81"/>
      <c r="F59" s="62"/>
      <c r="G59" s="62"/>
      <c r="H59" s="59"/>
      <c r="I59" s="77"/>
      <c r="J59" s="66"/>
      <c r="L59" s="62"/>
      <c r="M59" s="57"/>
      <c r="N59" s="71"/>
      <c r="O59" s="67"/>
      <c r="P59" s="152"/>
      <c r="Q59" s="71"/>
      <c r="R59" s="67"/>
      <c r="S59" s="67"/>
      <c r="T59" s="67"/>
      <c r="U59" s="67"/>
      <c r="V59" s="67"/>
      <c r="W59" s="67"/>
      <c r="X59" s="67"/>
      <c r="Y59" s="67"/>
      <c r="Z59" s="67"/>
      <c r="AA59" s="57"/>
      <c r="AJ59" s="71"/>
      <c r="AK59" s="78"/>
      <c r="AL59" s="79"/>
      <c r="AM59" s="73"/>
      <c r="AN59" s="71"/>
      <c r="AO59" s="67"/>
      <c r="AP59" s="67"/>
      <c r="AQ59" s="67"/>
      <c r="BL59" s="57"/>
      <c r="BM59" s="57"/>
      <c r="BN59" s="57"/>
      <c r="BO59" s="57"/>
      <c r="BP59" s="74"/>
      <c r="BQ59" s="57"/>
      <c r="BX59" s="156"/>
      <c r="BY59" s="156"/>
      <c r="BZ59" s="67"/>
      <c r="CA59" s="67"/>
      <c r="CB59" s="71"/>
      <c r="CC59" s="71"/>
      <c r="CD59" s="67"/>
      <c r="CE59" s="71"/>
      <c r="CF59" s="71"/>
      <c r="CG59" s="71"/>
      <c r="CH59" s="71"/>
      <c r="CI59" s="71"/>
      <c r="CJ59" s="69"/>
    </row>
    <row r="60" spans="1:101" x14ac:dyDescent="0.3">
      <c r="C60" s="82" t="s">
        <v>148</v>
      </c>
      <c r="D60" s="83">
        <f>SUM(D61:D72)</f>
        <v>3865410450.565537</v>
      </c>
      <c r="E60" s="71"/>
      <c r="F60" s="84" t="s">
        <v>49</v>
      </c>
      <c r="G60" s="84" t="s">
        <v>149</v>
      </c>
      <c r="H60" s="85"/>
      <c r="I60" s="86"/>
      <c r="J60" s="57"/>
      <c r="L60" s="62"/>
      <c r="N60" s="71"/>
      <c r="O60" s="67"/>
      <c r="P60" s="152"/>
      <c r="Q60" s="71"/>
      <c r="R60" s="67"/>
      <c r="S60" s="67"/>
      <c r="T60" s="67"/>
      <c r="U60" s="67"/>
      <c r="V60" s="67"/>
      <c r="W60" s="67"/>
      <c r="X60" s="67"/>
      <c r="Y60" s="67"/>
      <c r="Z60" s="67"/>
      <c r="AA60" s="57"/>
      <c r="AJ60" s="71"/>
      <c r="AK60" s="78"/>
      <c r="AL60" s="79"/>
      <c r="AM60" s="73"/>
      <c r="AN60" s="71"/>
      <c r="AO60" s="67"/>
      <c r="AP60" s="67"/>
      <c r="AQ60" s="67"/>
      <c r="BO60" s="59"/>
      <c r="BX60" s="156"/>
      <c r="BY60" s="157"/>
      <c r="BZ60" s="157"/>
      <c r="CA60" s="157"/>
      <c r="CB60" s="71"/>
      <c r="CC60" s="71"/>
      <c r="CD60" s="71"/>
      <c r="CE60" s="71"/>
      <c r="CF60" s="71"/>
      <c r="CG60" s="71"/>
      <c r="CH60" s="71"/>
      <c r="CI60" s="71"/>
      <c r="CJ60" s="67"/>
    </row>
    <row r="61" spans="1:101" ht="15" customHeight="1" x14ac:dyDescent="0.3">
      <c r="B61" s="165" t="s">
        <v>94</v>
      </c>
      <c r="C61" s="87" t="s">
        <v>150</v>
      </c>
      <c r="D61" s="88">
        <f>CW18+CW23</f>
        <v>1212585853.8410001</v>
      </c>
      <c r="E61" s="67" t="s">
        <v>205</v>
      </c>
      <c r="F61" s="89" t="s">
        <v>151</v>
      </c>
      <c r="G61" s="90">
        <f>N55</f>
        <v>120777.5199999999</v>
      </c>
      <c r="H61" s="85"/>
      <c r="I61" s="86"/>
      <c r="J61" s="57"/>
      <c r="L61" s="62"/>
      <c r="N61" s="67"/>
      <c r="O61" s="67"/>
      <c r="P61" s="152"/>
      <c r="Q61" s="71"/>
      <c r="R61" s="67"/>
      <c r="S61" s="67"/>
      <c r="T61" s="67"/>
      <c r="U61" s="67"/>
      <c r="V61" s="67"/>
      <c r="W61" s="67"/>
      <c r="X61" s="67"/>
      <c r="Y61" s="67"/>
      <c r="Z61" s="71"/>
      <c r="AJ61" s="71"/>
      <c r="AK61" s="78"/>
      <c r="AL61" s="79"/>
      <c r="AM61" s="73"/>
      <c r="AN61" s="71"/>
      <c r="AO61" s="67"/>
      <c r="AP61" s="67"/>
      <c r="AQ61" s="67"/>
      <c r="BX61" s="156"/>
      <c r="BY61" s="156"/>
      <c r="BZ61" s="67"/>
      <c r="CA61" s="156"/>
      <c r="CB61" s="71"/>
      <c r="CC61" s="71"/>
      <c r="CD61" s="156"/>
      <c r="CE61" s="71"/>
      <c r="CF61" s="71"/>
      <c r="CG61" s="71"/>
      <c r="CH61" s="71"/>
      <c r="CI61" s="71"/>
      <c r="CJ61" s="71"/>
    </row>
    <row r="62" spans="1:101" x14ac:dyDescent="0.3">
      <c r="B62" s="165"/>
      <c r="C62" s="87" t="s">
        <v>152</v>
      </c>
      <c r="D62" s="88">
        <f>CW11+CW15</f>
        <v>48022771.9963153</v>
      </c>
      <c r="E62" s="67" t="s">
        <v>205</v>
      </c>
      <c r="F62" s="89" t="s">
        <v>153</v>
      </c>
      <c r="G62" s="91">
        <f>P55</f>
        <v>2124114.3534668693</v>
      </c>
      <c r="H62" s="92"/>
      <c r="I62" s="86"/>
      <c r="J62" s="66"/>
      <c r="N62" s="67"/>
      <c r="O62" s="67"/>
      <c r="P62" s="152"/>
      <c r="Q62" s="71"/>
      <c r="R62" s="79"/>
      <c r="S62" s="67"/>
      <c r="T62" s="67"/>
      <c r="U62" s="67"/>
      <c r="V62" s="67"/>
      <c r="W62" s="67"/>
      <c r="X62" s="67"/>
      <c r="Y62" s="67"/>
      <c r="Z62" s="71"/>
      <c r="AJ62" s="71"/>
      <c r="AK62" s="78"/>
      <c r="AL62" s="79"/>
      <c r="AM62" s="67"/>
      <c r="AN62" s="71"/>
      <c r="AO62" s="67"/>
      <c r="AP62" s="67"/>
      <c r="AQ62" s="67"/>
      <c r="BX62" s="59"/>
      <c r="BY62" s="59"/>
      <c r="BZ62" s="57"/>
      <c r="CA62" s="59"/>
      <c r="CJ62" s="57"/>
    </row>
    <row r="63" spans="1:101" x14ac:dyDescent="0.3">
      <c r="B63" s="165"/>
      <c r="C63" s="87" t="s">
        <v>154</v>
      </c>
      <c r="D63" s="88">
        <f>CW27+CW25</f>
        <v>513637245.09375811</v>
      </c>
      <c r="E63" s="67" t="s">
        <v>205</v>
      </c>
      <c r="F63" s="89" t="s">
        <v>155</v>
      </c>
      <c r="G63" s="91">
        <f>R55</f>
        <v>118020.93450999976</v>
      </c>
      <c r="H63" s="93"/>
      <c r="I63" s="94"/>
      <c r="J63" s="57"/>
      <c r="N63" s="153"/>
      <c r="O63" s="153"/>
      <c r="P63" s="151"/>
      <c r="Q63" s="71"/>
      <c r="R63" s="67"/>
      <c r="S63" s="67"/>
      <c r="T63" s="67"/>
      <c r="U63" s="67"/>
      <c r="V63" s="67"/>
      <c r="W63" s="67"/>
      <c r="X63" s="67"/>
      <c r="Y63" s="67"/>
      <c r="Z63" s="71"/>
      <c r="AJ63" s="71"/>
      <c r="AK63" s="95"/>
      <c r="AL63" s="71"/>
      <c r="AM63" s="93"/>
      <c r="AN63" s="96"/>
      <c r="AO63" s="67"/>
      <c r="AP63" s="67"/>
      <c r="AQ63" s="67"/>
      <c r="AR63" s="67"/>
      <c r="BY63" s="59"/>
      <c r="BZ63" s="57"/>
      <c r="CA63" s="59"/>
      <c r="CJ63" s="59"/>
    </row>
    <row r="64" spans="1:101" x14ac:dyDescent="0.3">
      <c r="B64" s="165"/>
      <c r="C64" s="87" t="s">
        <v>156</v>
      </c>
      <c r="D64" s="88">
        <f>CW12+CW14+CW24</f>
        <v>1395895943.93084</v>
      </c>
      <c r="E64" s="67"/>
      <c r="H64" s="57"/>
      <c r="I64" s="77"/>
      <c r="J64" s="66"/>
      <c r="N64" s="153"/>
      <c r="O64" s="153"/>
      <c r="P64" s="152"/>
      <c r="Q64" s="71"/>
      <c r="R64" s="67"/>
      <c r="S64" s="67"/>
      <c r="T64" s="67"/>
      <c r="U64" s="67"/>
      <c r="V64" s="67"/>
      <c r="W64" s="67"/>
      <c r="X64" s="67"/>
      <c r="Y64" s="67"/>
      <c r="Z64" s="67"/>
      <c r="AJ64" s="71"/>
      <c r="AK64" s="71"/>
      <c r="AL64" s="67"/>
      <c r="AM64" s="79"/>
      <c r="AN64" s="97"/>
      <c r="AO64" s="67"/>
      <c r="AP64" s="67"/>
      <c r="AQ64" s="67"/>
      <c r="AR64" s="67"/>
      <c r="BZ64" s="57"/>
      <c r="CA64" s="59"/>
    </row>
    <row r="65" spans="2:79" x14ac:dyDescent="0.3">
      <c r="B65" s="165"/>
      <c r="C65" s="87" t="s">
        <v>157</v>
      </c>
      <c r="D65" s="88">
        <f>CW22</f>
        <v>693081047.671628</v>
      </c>
      <c r="E65" s="67"/>
      <c r="H65" s="57"/>
      <c r="I65" s="98"/>
      <c r="J65" s="66"/>
      <c r="N65" s="153"/>
      <c r="O65" s="153"/>
      <c r="P65" s="152"/>
      <c r="Q65" s="71"/>
      <c r="R65" s="67"/>
      <c r="S65" s="67"/>
      <c r="T65" s="67"/>
      <c r="U65" s="67"/>
      <c r="V65" s="67"/>
      <c r="W65" s="67"/>
      <c r="X65" s="67"/>
      <c r="Y65" s="67"/>
      <c r="Z65" s="67"/>
      <c r="AA65" s="57"/>
      <c r="AJ65" s="71"/>
      <c r="AK65" s="71"/>
      <c r="AL65" s="67"/>
      <c r="AM65" s="67"/>
      <c r="AN65" s="99"/>
      <c r="AO65" s="57"/>
      <c r="AP65" s="57"/>
      <c r="AQ65" s="57"/>
      <c r="AR65" s="67"/>
      <c r="BZ65" s="57"/>
      <c r="CA65" s="59"/>
    </row>
    <row r="66" spans="2:79" ht="23.25" customHeight="1" x14ac:dyDescent="0.3">
      <c r="B66" s="165" t="s">
        <v>117</v>
      </c>
      <c r="C66" s="100" t="s">
        <v>158</v>
      </c>
      <c r="D66" s="88">
        <f>CW31</f>
        <v>2061587.1119399997</v>
      </c>
      <c r="E66" s="101"/>
      <c r="F66" s="102" t="s">
        <v>36</v>
      </c>
      <c r="G66" s="102" t="s">
        <v>149</v>
      </c>
      <c r="H66" s="57"/>
      <c r="I66" s="98"/>
      <c r="J66" s="57"/>
      <c r="N66" s="67"/>
      <c r="O66" s="67"/>
      <c r="P66" s="152"/>
      <c r="Q66" s="71"/>
      <c r="R66" s="67"/>
      <c r="S66" s="67"/>
      <c r="T66" s="67"/>
      <c r="U66" s="67"/>
      <c r="V66" s="67"/>
      <c r="W66" s="67"/>
      <c r="X66" s="67"/>
      <c r="Y66" s="67"/>
      <c r="Z66" s="67"/>
      <c r="AA66" s="57"/>
      <c r="AJ66" s="71"/>
      <c r="AK66" s="71"/>
      <c r="AL66" s="67"/>
      <c r="AM66" s="57"/>
      <c r="AN66" s="103"/>
      <c r="AO66" s="57"/>
      <c r="AP66" s="57"/>
      <c r="AQ66" s="57"/>
      <c r="AR66" s="67"/>
      <c r="BZ66" s="57"/>
    </row>
    <row r="67" spans="2:79" ht="21.75" customHeight="1" x14ac:dyDescent="0.3">
      <c r="B67" s="165"/>
      <c r="C67" s="100" t="s">
        <v>120</v>
      </c>
      <c r="D67" s="88">
        <f>CW32</f>
        <v>2487.4399200000003</v>
      </c>
      <c r="E67" s="101"/>
      <c r="F67" s="104" t="s">
        <v>6</v>
      </c>
      <c r="G67" s="105">
        <f>T55</f>
        <v>56575.25</v>
      </c>
      <c r="H67" s="57"/>
      <c r="I67" s="98"/>
      <c r="J67" s="66"/>
      <c r="N67" s="101"/>
      <c r="O67" s="67"/>
      <c r="P67" s="71"/>
      <c r="Q67" s="71"/>
      <c r="R67" s="57"/>
      <c r="S67" s="57"/>
      <c r="T67" s="57"/>
      <c r="U67" s="57"/>
      <c r="V67" s="57"/>
      <c r="W67" s="57"/>
      <c r="X67" s="57"/>
      <c r="Y67" s="57"/>
      <c r="AA67" s="59"/>
      <c r="AL67" s="57"/>
      <c r="AM67" s="57"/>
      <c r="AN67" s="57"/>
      <c r="AO67" s="57"/>
      <c r="AP67" s="57"/>
      <c r="AQ67" s="57"/>
      <c r="AR67" s="67"/>
      <c r="BZ67" s="57"/>
    </row>
    <row r="68" spans="2:79" ht="24" customHeight="1" x14ac:dyDescent="0.3">
      <c r="B68" s="165"/>
      <c r="C68" s="100" t="s">
        <v>122</v>
      </c>
      <c r="D68" s="88">
        <f>CW34</f>
        <v>0</v>
      </c>
      <c r="E68" s="101"/>
      <c r="F68" s="104" t="s">
        <v>159</v>
      </c>
      <c r="G68" s="107">
        <f>V55</f>
        <v>46416370.969999999</v>
      </c>
      <c r="H68" s="57"/>
      <c r="I68" s="98"/>
      <c r="J68" s="108"/>
      <c r="M68" s="101"/>
      <c r="N68" s="101"/>
      <c r="O68" s="69"/>
      <c r="P68" s="67"/>
      <c r="Q68" s="67"/>
      <c r="R68" s="57"/>
      <c r="S68" s="57"/>
      <c r="T68" s="57"/>
      <c r="U68" s="57"/>
      <c r="V68" s="57"/>
      <c r="W68" s="57"/>
      <c r="X68" s="57"/>
      <c r="Y68" s="57"/>
      <c r="Z68" s="67"/>
      <c r="AL68" s="57"/>
      <c r="AM68" s="57"/>
      <c r="AN68" s="57"/>
      <c r="AO68" s="57"/>
      <c r="AP68" s="57"/>
      <c r="AQ68" s="57"/>
      <c r="BZ68" s="57"/>
      <c r="CA68" s="59"/>
    </row>
    <row r="69" spans="2:79" ht="34.5" customHeight="1" x14ac:dyDescent="0.3">
      <c r="B69" s="165" t="s">
        <v>123</v>
      </c>
      <c r="C69" s="100" t="s">
        <v>125</v>
      </c>
      <c r="D69" s="88">
        <f>CW37</f>
        <v>123513.48013549999</v>
      </c>
      <c r="E69" s="101"/>
      <c r="F69" s="104" t="s">
        <v>8</v>
      </c>
      <c r="G69" s="107">
        <f>X55</f>
        <v>905509.10000000009</v>
      </c>
      <c r="H69" s="57"/>
      <c r="I69" s="98"/>
      <c r="J69" s="108"/>
      <c r="M69" s="109"/>
      <c r="N69" s="109"/>
      <c r="O69" s="71"/>
      <c r="P69" s="58"/>
      <c r="Q69" s="67"/>
      <c r="R69" s="67"/>
      <c r="S69" s="57"/>
      <c r="T69" s="57"/>
      <c r="U69" s="57"/>
      <c r="V69" s="57"/>
      <c r="W69" s="57"/>
      <c r="X69" s="57"/>
      <c r="Y69" s="57"/>
      <c r="Z69" s="67"/>
      <c r="AM69" s="57"/>
      <c r="AN69" s="57"/>
      <c r="AO69" s="57"/>
      <c r="AP69" s="57"/>
      <c r="AQ69" s="57"/>
      <c r="BZ69" s="57"/>
    </row>
    <row r="70" spans="2:79" ht="33" customHeight="1" x14ac:dyDescent="0.3">
      <c r="B70" s="165"/>
      <c r="C70" s="100" t="s">
        <v>126</v>
      </c>
      <c r="D70" s="88">
        <f>CW39</f>
        <v>0</v>
      </c>
      <c r="E70" s="71"/>
      <c r="F70" s="110"/>
      <c r="G70" s="110"/>
      <c r="I70" s="111"/>
      <c r="J70" s="108"/>
      <c r="M70" s="101"/>
      <c r="N70" s="101"/>
      <c r="O70" s="69"/>
      <c r="P70" s="58"/>
      <c r="Q70" s="67"/>
      <c r="Z70" s="67"/>
      <c r="BZ70" s="57"/>
    </row>
    <row r="71" spans="2:79" ht="33" customHeight="1" x14ac:dyDescent="0.3">
      <c r="B71" s="165" t="s">
        <v>127</v>
      </c>
      <c r="C71" s="100" t="s">
        <v>129</v>
      </c>
      <c r="D71" s="88">
        <f>CW41</f>
        <v>0</v>
      </c>
      <c r="E71" s="71"/>
      <c r="F71" s="112" t="s">
        <v>160</v>
      </c>
      <c r="G71" s="113" t="s">
        <v>149</v>
      </c>
      <c r="I71" s="111"/>
      <c r="J71" s="108"/>
      <c r="L71" s="67"/>
      <c r="M71" s="101"/>
      <c r="N71" s="101"/>
      <c r="O71" s="69"/>
      <c r="BZ71" s="57"/>
    </row>
    <row r="72" spans="2:79" ht="33" customHeight="1" x14ac:dyDescent="0.3">
      <c r="B72" s="165"/>
      <c r="C72" s="100" t="s">
        <v>132</v>
      </c>
      <c r="D72" s="88">
        <f>CW44</f>
        <v>0</v>
      </c>
      <c r="E72" s="71"/>
      <c r="F72" s="114" t="s">
        <v>161</v>
      </c>
      <c r="G72" s="115">
        <f>K55*1000</f>
        <v>163081687.68414298</v>
      </c>
      <c r="I72" s="111"/>
      <c r="L72" s="73"/>
      <c r="M72" s="67"/>
      <c r="N72" s="71"/>
      <c r="O72" s="71"/>
      <c r="Q72" s="67"/>
      <c r="Z72" s="67"/>
      <c r="BZ72" s="57"/>
    </row>
    <row r="73" spans="2:79" x14ac:dyDescent="0.3">
      <c r="C73" s="116" t="s">
        <v>162</v>
      </c>
      <c r="D73" s="117">
        <f>SUM(D74:D84)</f>
        <v>-4012818716.6330833</v>
      </c>
      <c r="E73" s="71"/>
      <c r="F73" s="114" t="s">
        <v>163</v>
      </c>
      <c r="G73" s="115">
        <f>L55*1000</f>
        <v>107862155.20813484</v>
      </c>
      <c r="I73" s="111"/>
      <c r="L73" s="71"/>
      <c r="M73" s="71"/>
      <c r="N73" s="71"/>
      <c r="O73" s="71"/>
      <c r="P73" s="118"/>
      <c r="Q73" s="67"/>
      <c r="R73" s="119"/>
      <c r="S73" s="118"/>
      <c r="T73" s="118"/>
      <c r="U73" s="118"/>
      <c r="V73" s="118"/>
      <c r="W73" s="118"/>
      <c r="X73" s="118"/>
      <c r="Y73" s="118"/>
      <c r="Z73" s="67"/>
      <c r="BZ73" s="57"/>
    </row>
    <row r="74" spans="2:79" ht="23.25" customHeight="1" x14ac:dyDescent="0.3">
      <c r="B74" s="165" t="s">
        <v>94</v>
      </c>
      <c r="C74" s="100" t="s">
        <v>164</v>
      </c>
      <c r="D74" s="88">
        <f>CW17</f>
        <v>-14302276.172319999</v>
      </c>
      <c r="E74" s="71"/>
      <c r="F74" s="114" t="s">
        <v>165</v>
      </c>
      <c r="G74" s="115">
        <f>M55*1000</f>
        <v>64000538.409593031</v>
      </c>
      <c r="I74" s="111"/>
      <c r="L74" s="73"/>
      <c r="M74" s="71"/>
      <c r="N74" s="71"/>
      <c r="O74" s="71"/>
      <c r="P74" s="118"/>
      <c r="Q74" s="67"/>
      <c r="S74" s="118"/>
      <c r="T74" s="118"/>
      <c r="U74" s="118"/>
      <c r="V74" s="118"/>
      <c r="W74" s="118"/>
      <c r="X74" s="118"/>
      <c r="Y74" s="118"/>
      <c r="Z74" s="67"/>
      <c r="BZ74" s="57"/>
    </row>
    <row r="75" spans="2:79" ht="19.5" customHeight="1" x14ac:dyDescent="0.3">
      <c r="B75" s="165"/>
      <c r="C75" s="100" t="s">
        <v>166</v>
      </c>
      <c r="D75" s="120">
        <f>CW13+CW19+CW20</f>
        <v>-1925405446.1166799</v>
      </c>
      <c r="E75" s="67" t="s">
        <v>205</v>
      </c>
      <c r="I75" s="111"/>
      <c r="L75" s="59"/>
      <c r="BZ75" s="57"/>
    </row>
    <row r="76" spans="2:79" ht="22.5" customHeight="1" x14ac:dyDescent="0.3">
      <c r="B76" s="165"/>
      <c r="C76" s="100" t="s">
        <v>167</v>
      </c>
      <c r="D76" s="120">
        <f>CW16+CW21</f>
        <v>-1534466542.1450005</v>
      </c>
      <c r="E76" s="57" t="s">
        <v>205</v>
      </c>
      <c r="F76" s="121" t="s">
        <v>168</v>
      </c>
      <c r="G76" s="121" t="s">
        <v>169</v>
      </c>
      <c r="I76" s="111"/>
      <c r="L76" s="59"/>
      <c r="BZ76" s="57"/>
    </row>
    <row r="77" spans="2:79" ht="21.75" customHeight="1" x14ac:dyDescent="0.3">
      <c r="B77" s="165"/>
      <c r="C77" s="100" t="s">
        <v>170</v>
      </c>
      <c r="D77" s="120">
        <f>CW28+CW26</f>
        <v>-448839441.7992059</v>
      </c>
      <c r="E77" s="67" t="s">
        <v>205</v>
      </c>
      <c r="F77" s="122" t="s">
        <v>161</v>
      </c>
      <c r="G77" s="123">
        <f>Z55</f>
        <v>9662.5274983807467</v>
      </c>
      <c r="I77" s="66"/>
      <c r="BZ77" s="57"/>
    </row>
    <row r="78" spans="2:79" ht="33" customHeight="1" x14ac:dyDescent="0.3">
      <c r="B78" s="165" t="s">
        <v>117</v>
      </c>
      <c r="C78" s="100" t="s">
        <v>118</v>
      </c>
      <c r="D78" s="124">
        <f>CW30</f>
        <v>-17574226.362</v>
      </c>
      <c r="E78" s="67"/>
      <c r="F78" s="125" t="s">
        <v>163</v>
      </c>
      <c r="G78" s="126">
        <f>AB55</f>
        <v>7542.7499999967404</v>
      </c>
      <c r="I78" s="66"/>
      <c r="J78" s="127"/>
      <c r="BZ78" s="57"/>
    </row>
    <row r="79" spans="2:79" ht="27" customHeight="1" x14ac:dyDescent="0.3">
      <c r="B79" s="165"/>
      <c r="C79" s="100" t="s">
        <v>121</v>
      </c>
      <c r="D79" s="124">
        <f>CW33</f>
        <v>-8051353.699</v>
      </c>
      <c r="E79" s="71"/>
      <c r="F79" s="128" t="s">
        <v>165</v>
      </c>
      <c r="G79" s="126">
        <f>AD55</f>
        <v>5155</v>
      </c>
      <c r="I79" s="129"/>
      <c r="J79" s="59"/>
      <c r="BZ79" s="57"/>
    </row>
    <row r="80" spans="2:79" ht="31.5" customHeight="1" x14ac:dyDescent="0.3">
      <c r="B80" s="165" t="s">
        <v>123</v>
      </c>
      <c r="C80" s="100" t="s">
        <v>125</v>
      </c>
      <c r="D80" s="124">
        <f>CW36</f>
        <v>0</v>
      </c>
      <c r="E80" s="101"/>
      <c r="F80" s="128" t="s">
        <v>171</v>
      </c>
      <c r="G80" s="126">
        <f>AF55</f>
        <v>7956.8699999451637</v>
      </c>
      <c r="I80" s="66"/>
      <c r="J80" s="130"/>
      <c r="BZ80" s="57"/>
    </row>
    <row r="81" spans="2:78" ht="33.75" customHeight="1" x14ac:dyDescent="0.3">
      <c r="B81" s="165"/>
      <c r="C81" s="100" t="s">
        <v>126</v>
      </c>
      <c r="D81" s="131">
        <f>CW38</f>
        <v>-58122822.354257695</v>
      </c>
      <c r="E81" s="101" t="s">
        <v>205</v>
      </c>
      <c r="F81" s="128" t="s">
        <v>172</v>
      </c>
      <c r="G81" s="126">
        <f>AH55</f>
        <v>21297.839999997261</v>
      </c>
      <c r="I81" s="59"/>
      <c r="BZ81" s="57"/>
    </row>
    <row r="82" spans="2:78" ht="21.75" customHeight="1" x14ac:dyDescent="0.3">
      <c r="B82" s="158" t="s">
        <v>127</v>
      </c>
      <c r="C82" s="132" t="str">
        <f>C40</f>
        <v>COMPRA DIVISAS OTRAS ÁREAS</v>
      </c>
      <c r="D82" s="124">
        <f>CW40</f>
        <v>-6056607.9846200002</v>
      </c>
      <c r="E82" s="71"/>
      <c r="F82" s="128" t="s">
        <v>173</v>
      </c>
      <c r="G82" s="126">
        <f>AJ55</f>
        <v>676740.54999999818</v>
      </c>
    </row>
    <row r="83" spans="2:78" ht="19.5" customHeight="1" x14ac:dyDescent="0.3">
      <c r="B83" s="159"/>
      <c r="C83" s="132" t="str">
        <f>C42</f>
        <v>COMPRA DIVISAS REASEGUROS</v>
      </c>
      <c r="D83" s="124">
        <f>CW42</f>
        <v>0</v>
      </c>
      <c r="E83" s="71"/>
      <c r="F83" s="57"/>
    </row>
    <row r="84" spans="2:78" ht="20.25" customHeight="1" x14ac:dyDescent="0.3">
      <c r="B84" s="160"/>
      <c r="C84" s="132" t="str">
        <f>C43</f>
        <v>COMPRA DIVISAS COMPENSACIÓN</v>
      </c>
      <c r="D84" s="124">
        <f>CW43</f>
        <v>0</v>
      </c>
      <c r="E84" s="71"/>
    </row>
    <row r="89" spans="2:78" x14ac:dyDescent="0.3">
      <c r="C89" s="133" t="s">
        <v>174</v>
      </c>
      <c r="D89" s="134" t="s">
        <v>175</v>
      </c>
      <c r="E89" s="134" t="s">
        <v>176</v>
      </c>
      <c r="F89" s="133" t="s">
        <v>177</v>
      </c>
      <c r="G89" s="135" t="s">
        <v>90</v>
      </c>
      <c r="H89" s="136" t="s">
        <v>178</v>
      </c>
      <c r="I89" s="137" t="s">
        <v>179</v>
      </c>
      <c r="J89" s="137" t="s">
        <v>180</v>
      </c>
      <c r="K89" s="137" t="s">
        <v>139</v>
      </c>
      <c r="L89" s="137" t="s">
        <v>181</v>
      </c>
      <c r="M89" s="138" t="s">
        <v>182</v>
      </c>
    </row>
    <row r="90" spans="2:78" x14ac:dyDescent="0.3">
      <c r="C90" s="139" t="s">
        <v>183</v>
      </c>
      <c r="D90" s="140" t="s">
        <v>62</v>
      </c>
      <c r="E90" s="139" t="s">
        <v>184</v>
      </c>
      <c r="F90" s="141" t="s">
        <v>185</v>
      </c>
      <c r="G90" s="142">
        <f>AR5</f>
        <v>33467.106463993005</v>
      </c>
      <c r="H90" s="142">
        <f>AR27+AR25</f>
        <v>0</v>
      </c>
      <c r="I90" s="142">
        <f>AR28+AR26</f>
        <v>0</v>
      </c>
      <c r="J90" s="137">
        <f>AR29</f>
        <v>0</v>
      </c>
      <c r="K90" s="143">
        <f>AR52+AR48</f>
        <v>88.094999999999999</v>
      </c>
      <c r="L90" s="143">
        <f>AR50+AR51+AR53+AR40+AR42+AR43+AR45</f>
        <v>0</v>
      </c>
      <c r="M90" s="144">
        <f t="shared" ref="M90:M106" si="12">G90+H90+I90+J90+K90+L90</f>
        <v>33555.201463993006</v>
      </c>
    </row>
    <row r="91" spans="2:78" x14ac:dyDescent="0.3">
      <c r="C91" s="139" t="s">
        <v>183</v>
      </c>
      <c r="D91" s="140" t="s">
        <v>186</v>
      </c>
      <c r="E91" s="139" t="s">
        <v>184</v>
      </c>
      <c r="F91" s="141" t="s">
        <v>187</v>
      </c>
      <c r="G91" s="142">
        <f>BH5</f>
        <v>24605.160800002101</v>
      </c>
      <c r="H91" s="145">
        <f>BH27+BH25</f>
        <v>0</v>
      </c>
      <c r="I91" s="145">
        <f>BH28+BH26</f>
        <v>0</v>
      </c>
      <c r="J91" s="145">
        <f>BH29</f>
        <v>0</v>
      </c>
      <c r="K91" s="145">
        <f>BH52+BH48</f>
        <v>52.140470000000001</v>
      </c>
      <c r="L91" s="143">
        <f>BH50+BH51+BH53+BH40+BH42+BH43+BH45</f>
        <v>-614.80235435999998</v>
      </c>
      <c r="M91" s="144">
        <f t="shared" si="12"/>
        <v>24042.4989156421</v>
      </c>
    </row>
    <row r="92" spans="2:78" x14ac:dyDescent="0.3">
      <c r="C92" s="139" t="s">
        <v>183</v>
      </c>
      <c r="D92" s="140" t="s">
        <v>71</v>
      </c>
      <c r="E92" s="139" t="s">
        <v>184</v>
      </c>
      <c r="F92" s="141" t="s">
        <v>188</v>
      </c>
      <c r="G92" s="142">
        <f>BA5</f>
        <v>205865.95172400694</v>
      </c>
      <c r="H92" s="145">
        <f>BA27+BA25</f>
        <v>0</v>
      </c>
      <c r="I92" s="145">
        <f>BA28+BA26</f>
        <v>0</v>
      </c>
      <c r="J92" s="145">
        <f>BA29</f>
        <v>0</v>
      </c>
      <c r="K92" s="145">
        <f>BA52+BA48</f>
        <v>1092.1200000000001</v>
      </c>
      <c r="L92" s="143">
        <f>BA50+BA51+BA53+BA40+BA42+BA43+BA45</f>
        <v>-76.504999999999995</v>
      </c>
      <c r="M92" s="144">
        <f t="shared" si="12"/>
        <v>206881.56672400693</v>
      </c>
    </row>
    <row r="93" spans="2:78" x14ac:dyDescent="0.3">
      <c r="C93" s="139" t="s">
        <v>183</v>
      </c>
      <c r="D93" s="140" t="s">
        <v>75</v>
      </c>
      <c r="E93" s="139" t="s">
        <v>184</v>
      </c>
      <c r="F93" s="141" t="s">
        <v>189</v>
      </c>
      <c r="G93" s="142">
        <f>BE5</f>
        <v>256616.86652368054</v>
      </c>
      <c r="H93" s="145">
        <f>BE27+BE25</f>
        <v>0</v>
      </c>
      <c r="I93" s="145">
        <f>BE28+BE26</f>
        <v>0</v>
      </c>
      <c r="J93" s="145">
        <f>BE29</f>
        <v>0</v>
      </c>
      <c r="K93" s="145">
        <f>BE52+BE48</f>
        <v>10.89315</v>
      </c>
      <c r="L93" s="143">
        <f>BE50+BE51+BE53+BE40+BE42+BE43+BE45</f>
        <v>-480.76251999999999</v>
      </c>
      <c r="M93" s="144">
        <f t="shared" si="12"/>
        <v>256146.99715368054</v>
      </c>
    </row>
    <row r="94" spans="2:78" x14ac:dyDescent="0.3">
      <c r="C94" s="139" t="s">
        <v>183</v>
      </c>
      <c r="D94" s="140" t="s">
        <v>67</v>
      </c>
      <c r="E94" s="139" t="s">
        <v>184</v>
      </c>
      <c r="F94" s="141" t="s">
        <v>190</v>
      </c>
      <c r="G94" s="142">
        <f>AW5</f>
        <v>87470.533549996806</v>
      </c>
      <c r="H94" s="145">
        <f>AW27+AW25</f>
        <v>0</v>
      </c>
      <c r="I94" s="145">
        <f>AW28+AW26</f>
        <v>0</v>
      </c>
      <c r="J94" s="145">
        <f>AW29</f>
        <v>0</v>
      </c>
      <c r="K94" s="145">
        <f>AW52+AW48</f>
        <v>555.65114000000005</v>
      </c>
      <c r="L94" s="143">
        <f>AW50+AW51+AW53+AW40+AW42+AW43+AW45</f>
        <v>-311.67764799999998</v>
      </c>
      <c r="M94" s="144">
        <f t="shared" si="12"/>
        <v>87714.507041996811</v>
      </c>
    </row>
    <row r="95" spans="2:78" x14ac:dyDescent="0.3">
      <c r="C95" s="139" t="s">
        <v>191</v>
      </c>
      <c r="D95" s="140" t="s">
        <v>64</v>
      </c>
      <c r="E95" s="12" t="s">
        <v>192</v>
      </c>
      <c r="F95" s="141" t="s">
        <v>185</v>
      </c>
      <c r="G95" s="142">
        <f>AT5</f>
        <v>11.326432002509915</v>
      </c>
      <c r="H95" s="145">
        <f>AT27+AT25</f>
        <v>0</v>
      </c>
      <c r="I95" s="145">
        <f>AT28+AT26</f>
        <v>0</v>
      </c>
      <c r="J95" s="145">
        <f>AT29</f>
        <v>0</v>
      </c>
      <c r="K95" s="145">
        <f>AT52+AT48</f>
        <v>0.03</v>
      </c>
      <c r="L95" s="143">
        <f>AT50+AT51+AT53+AT40+AT42+AT43+AT45</f>
        <v>0</v>
      </c>
      <c r="M95" s="144">
        <f t="shared" si="12"/>
        <v>11.356432002509914</v>
      </c>
    </row>
    <row r="96" spans="2:78" x14ac:dyDescent="0.3">
      <c r="C96" s="139" t="s">
        <v>191</v>
      </c>
      <c r="D96" s="140" t="s">
        <v>63</v>
      </c>
      <c r="E96" s="12" t="s">
        <v>193</v>
      </c>
      <c r="F96" s="141" t="s">
        <v>185</v>
      </c>
      <c r="G96" s="142">
        <f>AS5</f>
        <v>6.3419079996137473</v>
      </c>
      <c r="H96" s="145">
        <f>AS27+AS25</f>
        <v>0</v>
      </c>
      <c r="I96" s="145">
        <f>AS28+AS26</f>
        <v>0</v>
      </c>
      <c r="J96" s="145">
        <f>AS29</f>
        <v>0</v>
      </c>
      <c r="K96" s="145">
        <f>AS52+AS48</f>
        <v>1.7000000000000001E-2</v>
      </c>
      <c r="L96" s="143">
        <f>AS50+AS51+AS53+AS40+AS42+AS43+AS45</f>
        <v>0</v>
      </c>
      <c r="M96" s="144">
        <f t="shared" si="12"/>
        <v>6.3589079996137476</v>
      </c>
    </row>
    <row r="97" spans="3:13" x14ac:dyDescent="0.3">
      <c r="C97" s="139" t="s">
        <v>191</v>
      </c>
      <c r="D97" s="140" t="s">
        <v>78</v>
      </c>
      <c r="E97" s="12" t="s">
        <v>194</v>
      </c>
      <c r="F97" s="145" t="s">
        <v>187</v>
      </c>
      <c r="G97" s="142">
        <f>BI5</f>
        <v>207727.90101</v>
      </c>
      <c r="H97" s="145">
        <f>BI27+BI25</f>
        <v>0</v>
      </c>
      <c r="I97" s="145">
        <f>BI28+BI26</f>
        <v>0</v>
      </c>
      <c r="J97" s="145">
        <f>BI29</f>
        <v>0</v>
      </c>
      <c r="K97" s="145">
        <f>BI52+BI48</f>
        <v>298.09345999999999</v>
      </c>
      <c r="L97" s="143">
        <f>BI50+BI51+BI53+BI40+BI42+BI43+BI45</f>
        <v>-116797.68924519999</v>
      </c>
      <c r="M97" s="144">
        <f t="shared" si="12"/>
        <v>91228.305224800017</v>
      </c>
    </row>
    <row r="98" spans="3:13" x14ac:dyDescent="0.3">
      <c r="C98" s="139" t="s">
        <v>191</v>
      </c>
      <c r="D98" s="146" t="s">
        <v>73</v>
      </c>
      <c r="E98" s="12" t="s">
        <v>195</v>
      </c>
      <c r="F98" s="145" t="s">
        <v>188</v>
      </c>
      <c r="G98" s="142">
        <f>BC5</f>
        <v>271948.65584799863</v>
      </c>
      <c r="H98" s="145">
        <f>BC27+BC25</f>
        <v>0</v>
      </c>
      <c r="I98" s="145">
        <f>BC28+BC26</f>
        <v>0</v>
      </c>
      <c r="J98" s="145">
        <f>BC29</f>
        <v>0</v>
      </c>
      <c r="K98" s="145">
        <f>BC52+BC48</f>
        <v>1442.664</v>
      </c>
      <c r="L98" s="143">
        <f>BC50+BC51+BC53+BC40+BC42+BC43+BC45</f>
        <v>-101.02299999999997</v>
      </c>
      <c r="M98" s="144">
        <f t="shared" si="12"/>
        <v>273290.29684799863</v>
      </c>
    </row>
    <row r="99" spans="3:13" x14ac:dyDescent="0.3">
      <c r="C99" s="139" t="s">
        <v>191</v>
      </c>
      <c r="D99" s="146" t="s">
        <v>72</v>
      </c>
      <c r="E99" s="12" t="s">
        <v>196</v>
      </c>
      <c r="F99" s="145" t="s">
        <v>188</v>
      </c>
      <c r="G99" s="142">
        <f>BB5</f>
        <v>71290.18621999117</v>
      </c>
      <c r="H99" s="145">
        <f>BB27+BB25</f>
        <v>0</v>
      </c>
      <c r="I99" s="145">
        <f>BB28+BB26</f>
        <v>0</v>
      </c>
      <c r="J99" s="145">
        <f>BB29</f>
        <v>0</v>
      </c>
      <c r="K99" s="145">
        <f>BB52+BB48</f>
        <v>378.50799999999998</v>
      </c>
      <c r="L99" s="143">
        <f>BB50+BB51+BB53+BB40+BB42+BB43+BB45</f>
        <v>-26.791</v>
      </c>
      <c r="M99" s="144">
        <f t="shared" si="12"/>
        <v>71641.903219991174</v>
      </c>
    </row>
    <row r="100" spans="3:13" x14ac:dyDescent="0.3">
      <c r="C100" s="139" t="s">
        <v>191</v>
      </c>
      <c r="D100" s="146" t="s">
        <v>76</v>
      </c>
      <c r="E100" s="12" t="s">
        <v>197</v>
      </c>
      <c r="F100" s="145" t="s">
        <v>189</v>
      </c>
      <c r="G100" s="142">
        <f>BF5</f>
        <v>294814.03831035987</v>
      </c>
      <c r="H100" s="145">
        <f>BF27+BF25</f>
        <v>0</v>
      </c>
      <c r="I100" s="145">
        <f>BF28+BF26</f>
        <v>0</v>
      </c>
      <c r="J100" s="145">
        <f>BF29</f>
        <v>0</v>
      </c>
      <c r="K100" s="145">
        <f>BF52+BF48</f>
        <v>13.45492</v>
      </c>
      <c r="L100" s="143">
        <f>BF50+BF51+BF53+BF40+BF42+BF43+BF45</f>
        <v>0</v>
      </c>
      <c r="M100" s="144">
        <f t="shared" si="12"/>
        <v>294827.49323035986</v>
      </c>
    </row>
    <row r="101" spans="3:13" x14ac:dyDescent="0.3">
      <c r="C101" s="139" t="s">
        <v>191</v>
      </c>
      <c r="D101" s="146" t="s">
        <v>68</v>
      </c>
      <c r="E101" s="12" t="s">
        <v>198</v>
      </c>
      <c r="F101" s="141" t="s">
        <v>190</v>
      </c>
      <c r="G101" s="142">
        <f>AX5</f>
        <v>1064.5961240010877</v>
      </c>
      <c r="H101" s="145">
        <f>AX27+AX25</f>
        <v>0</v>
      </c>
      <c r="I101" s="145">
        <f>AX28+AX26</f>
        <v>0</v>
      </c>
      <c r="J101" s="145">
        <f>AX29</f>
        <v>0</v>
      </c>
      <c r="K101" s="145">
        <f>AX52+AX48</f>
        <v>5.8297499999999998</v>
      </c>
      <c r="L101" s="143">
        <f>AY50+AY51+AY53+AY40+AY42+AY43+AY45</f>
        <v>-947.34121199999993</v>
      </c>
      <c r="M101" s="144">
        <f t="shared" si="12"/>
        <v>123.08466200108785</v>
      </c>
    </row>
    <row r="102" spans="3:13" x14ac:dyDescent="0.3">
      <c r="C102" s="139" t="s">
        <v>199</v>
      </c>
      <c r="D102" s="146" t="s">
        <v>65</v>
      </c>
      <c r="E102" s="12" t="s">
        <v>200</v>
      </c>
      <c r="F102" s="141" t="s">
        <v>185</v>
      </c>
      <c r="G102" s="142">
        <f>AU5</f>
        <v>70852.565203997277</v>
      </c>
      <c r="H102" s="145">
        <f>AU27+AU25</f>
        <v>0</v>
      </c>
      <c r="I102" s="145">
        <f>AU28+AU26</f>
        <v>0</v>
      </c>
      <c r="J102" s="145">
        <f>AU29</f>
        <v>0</v>
      </c>
      <c r="K102" s="145">
        <f>AU52+AU48</f>
        <v>34.847999999999999</v>
      </c>
      <c r="L102" s="143">
        <f>AU50+AU51+AU53+AU40+AU42+AU43+AU45</f>
        <v>0</v>
      </c>
      <c r="M102" s="144">
        <f t="shared" si="12"/>
        <v>70887.413203997276</v>
      </c>
    </row>
    <row r="103" spans="3:13" x14ac:dyDescent="0.3">
      <c r="C103" s="139" t="s">
        <v>199</v>
      </c>
      <c r="D103" s="146" t="s">
        <v>79</v>
      </c>
      <c r="E103" s="12" t="s">
        <v>201</v>
      </c>
      <c r="F103" s="141" t="s">
        <v>187</v>
      </c>
      <c r="G103" s="142">
        <f>BJ5</f>
        <v>154010.6032805602</v>
      </c>
      <c r="H103" s="145">
        <f>BJ27+BJ25</f>
        <v>0</v>
      </c>
      <c r="I103" s="145">
        <f>BJ28+BJ26</f>
        <v>0</v>
      </c>
      <c r="J103" s="145">
        <f>BJ29</f>
        <v>0</v>
      </c>
      <c r="K103" s="145">
        <f>BG52+BG48</f>
        <v>0.28754999999999997</v>
      </c>
      <c r="L103" s="143">
        <f>BJ50+BJ51+BJ53+BJ40+BJ42+BJ43+BJ45</f>
        <v>-37.115167999999997</v>
      </c>
      <c r="M103" s="144">
        <f t="shared" si="12"/>
        <v>153973.77566256022</v>
      </c>
    </row>
    <row r="104" spans="3:13" x14ac:dyDescent="0.3">
      <c r="C104" s="139" t="s">
        <v>199</v>
      </c>
      <c r="D104" s="146" t="s">
        <v>74</v>
      </c>
      <c r="E104" s="12" t="s">
        <v>201</v>
      </c>
      <c r="F104" s="141" t="s">
        <v>188</v>
      </c>
      <c r="G104" s="142">
        <f>BD5</f>
        <v>17375.68359998985</v>
      </c>
      <c r="H104" s="145">
        <f>BD27+BD25</f>
        <v>0</v>
      </c>
      <c r="I104" s="145">
        <f>BD28+BD26</f>
        <v>0</v>
      </c>
      <c r="J104" s="145">
        <f>BD29</f>
        <v>0</v>
      </c>
      <c r="K104" s="145">
        <f>BD52+BD48</f>
        <v>92.20499999999997</v>
      </c>
      <c r="L104" s="143">
        <f>BD50+BD51+BD53+BD40+BD42+BD43+BD45</f>
        <v>-6.4929999999999986</v>
      </c>
      <c r="M104" s="144">
        <f t="shared" si="12"/>
        <v>17461.395599989854</v>
      </c>
    </row>
    <row r="105" spans="3:13" x14ac:dyDescent="0.3">
      <c r="C105" s="139" t="s">
        <v>199</v>
      </c>
      <c r="D105" s="146" t="s">
        <v>77</v>
      </c>
      <c r="E105" s="12" t="s">
        <v>201</v>
      </c>
      <c r="F105" s="141" t="s">
        <v>189</v>
      </c>
      <c r="G105" s="142">
        <f>BG5</f>
        <v>35110.408018882757</v>
      </c>
      <c r="H105" s="145">
        <f>BG27+BG25</f>
        <v>0</v>
      </c>
      <c r="I105" s="145">
        <f>BG28+BG26</f>
        <v>0</v>
      </c>
      <c r="J105" s="145">
        <f>BG29</f>
        <v>0</v>
      </c>
      <c r="K105" s="145">
        <f>BG52+BG48</f>
        <v>0.28754999999999997</v>
      </c>
      <c r="L105" s="143">
        <f>BG50+BG51+BG53+BG40+BG42+BG43+BG45</f>
        <v>0</v>
      </c>
      <c r="M105" s="144">
        <f t="shared" si="12"/>
        <v>35110.695568882758</v>
      </c>
    </row>
    <row r="106" spans="3:13" x14ac:dyDescent="0.3">
      <c r="C106" s="139" t="s">
        <v>199</v>
      </c>
      <c r="D106" s="146" t="s">
        <v>69</v>
      </c>
      <c r="E106" s="12" t="s">
        <v>201</v>
      </c>
      <c r="F106" s="141" t="s">
        <v>190</v>
      </c>
      <c r="G106" s="142">
        <f>AY5</f>
        <v>181309.04110000003</v>
      </c>
      <c r="H106" s="145">
        <f>AY27+AY25</f>
        <v>0</v>
      </c>
      <c r="I106" s="145">
        <f>AY28+AY26</f>
        <v>0</v>
      </c>
      <c r="J106" s="145">
        <f>AY29</f>
        <v>0</v>
      </c>
      <c r="K106" s="145">
        <f>AY52+AY48</f>
        <v>4301671.8195200004</v>
      </c>
      <c r="L106" s="143">
        <f>AY50+AY51+AY53+AY40+AY42+AY43+AY45</f>
        <v>-947.34121199999993</v>
      </c>
      <c r="M106" s="144">
        <f t="shared" si="12"/>
        <v>4482033.5194080006</v>
      </c>
    </row>
    <row r="107" spans="3:13" x14ac:dyDescent="0.3">
      <c r="C107" s="110"/>
      <c r="D107" s="110"/>
      <c r="E107" s="98"/>
      <c r="F107" s="147"/>
      <c r="G107" s="98"/>
      <c r="H107" s="147"/>
      <c r="I107" s="147"/>
      <c r="J107" s="110"/>
      <c r="K107" s="110"/>
      <c r="L107" s="148"/>
      <c r="M107" s="147"/>
    </row>
    <row r="108" spans="3:13" x14ac:dyDescent="0.3">
      <c r="C108" s="110"/>
      <c r="D108" s="110"/>
      <c r="E108" s="110"/>
      <c r="F108" s="98" t="s">
        <v>202</v>
      </c>
      <c r="G108" s="98">
        <f t="shared" ref="G108:M108" si="13">SUM(G90:G94)</f>
        <v>608025.61906167935</v>
      </c>
      <c r="H108" s="98">
        <f t="shared" si="13"/>
        <v>0</v>
      </c>
      <c r="I108" s="98">
        <f t="shared" si="13"/>
        <v>0</v>
      </c>
      <c r="J108" s="98">
        <f t="shared" si="13"/>
        <v>0</v>
      </c>
      <c r="K108" s="98">
        <f t="shared" si="13"/>
        <v>1798.8997600000002</v>
      </c>
      <c r="L108" s="98">
        <f t="shared" si="13"/>
        <v>-1483.7475223599999</v>
      </c>
      <c r="M108" s="98">
        <f t="shared" si="13"/>
        <v>608340.77129931934</v>
      </c>
    </row>
    <row r="109" spans="3:13" x14ac:dyDescent="0.3">
      <c r="C109" s="110"/>
      <c r="D109" s="110"/>
      <c r="E109" s="98"/>
      <c r="F109" s="98" t="s">
        <v>203</v>
      </c>
      <c r="G109" s="98">
        <f t="shared" ref="G109:M109" si="14">SUM(G95:G101)</f>
        <v>846863.04585235287</v>
      </c>
      <c r="H109" s="98">
        <f t="shared" si="14"/>
        <v>0</v>
      </c>
      <c r="I109" s="98">
        <f t="shared" si="14"/>
        <v>0</v>
      </c>
      <c r="J109" s="98">
        <f t="shared" si="14"/>
        <v>0</v>
      </c>
      <c r="K109" s="98">
        <f t="shared" si="14"/>
        <v>2138.5971300000001</v>
      </c>
      <c r="L109" s="98">
        <f t="shared" si="14"/>
        <v>-117872.84445719999</v>
      </c>
      <c r="M109" s="98">
        <f t="shared" si="14"/>
        <v>731128.79852515296</v>
      </c>
    </row>
    <row r="110" spans="3:13" x14ac:dyDescent="0.3">
      <c r="C110" s="110"/>
      <c r="D110" s="110"/>
      <c r="E110" s="98"/>
      <c r="F110" s="98" t="s">
        <v>204</v>
      </c>
      <c r="G110" s="98">
        <f t="shared" ref="G110:M110" si="15">SUM(G102:G106)</f>
        <v>458658.30120343011</v>
      </c>
      <c r="H110" s="98">
        <f t="shared" si="15"/>
        <v>0</v>
      </c>
      <c r="I110" s="98">
        <f t="shared" si="15"/>
        <v>0</v>
      </c>
      <c r="J110" s="98">
        <f t="shared" si="15"/>
        <v>0</v>
      </c>
      <c r="K110" s="98">
        <f t="shared" si="15"/>
        <v>4301799.4476200007</v>
      </c>
      <c r="L110" s="98">
        <f t="shared" si="15"/>
        <v>-990.94937999999991</v>
      </c>
      <c r="M110" s="98">
        <f t="shared" si="15"/>
        <v>4759466.7994434312</v>
      </c>
    </row>
    <row r="114" spans="5:9" x14ac:dyDescent="0.3">
      <c r="E114" s="57"/>
      <c r="H114" s="57"/>
      <c r="I114" s="57"/>
    </row>
    <row r="115" spans="5:9" x14ac:dyDescent="0.3">
      <c r="E115" s="57"/>
      <c r="G115" s="57"/>
      <c r="H115" s="57"/>
      <c r="I115" s="57"/>
    </row>
    <row r="116" spans="5:9" x14ac:dyDescent="0.3">
      <c r="E116" s="57"/>
      <c r="G116" s="57"/>
      <c r="H116" s="57"/>
      <c r="I116" s="57"/>
    </row>
    <row r="117" spans="5:9" x14ac:dyDescent="0.3">
      <c r="E117" s="57"/>
      <c r="F117" s="57"/>
      <c r="G117" s="57"/>
      <c r="H117" s="57"/>
      <c r="I117" s="57"/>
    </row>
    <row r="118" spans="5:9" x14ac:dyDescent="0.3">
      <c r="E118" s="57"/>
      <c r="F118" s="57"/>
      <c r="G118" s="57"/>
      <c r="H118" s="57"/>
      <c r="I118" s="57"/>
    </row>
    <row r="119" spans="5:9" x14ac:dyDescent="0.3">
      <c r="E119" s="57"/>
      <c r="F119" s="57"/>
      <c r="G119" s="57"/>
      <c r="H119" s="57"/>
      <c r="I119" s="57"/>
    </row>
    <row r="120" spans="5:9" x14ac:dyDescent="0.3">
      <c r="E120" s="57"/>
      <c r="F120" s="57"/>
      <c r="G120" s="57"/>
      <c r="H120" s="57"/>
      <c r="I120" s="57"/>
    </row>
    <row r="121" spans="5:9" x14ac:dyDescent="0.3">
      <c r="E121" s="57"/>
      <c r="F121" s="57"/>
      <c r="G121" s="57"/>
      <c r="H121" s="57"/>
      <c r="I121" s="57"/>
    </row>
    <row r="122" spans="5:9" x14ac:dyDescent="0.3">
      <c r="E122" s="57"/>
      <c r="F122" s="57"/>
      <c r="G122" s="57"/>
      <c r="H122" s="57"/>
      <c r="I122" s="57"/>
    </row>
    <row r="123" spans="5:9" x14ac:dyDescent="0.3">
      <c r="F123" s="57"/>
      <c r="G123" s="57"/>
      <c r="H123" s="57"/>
      <c r="I123" s="57"/>
    </row>
    <row r="124" spans="5:9" x14ac:dyDescent="0.3">
      <c r="F124" s="57"/>
      <c r="G124" s="57"/>
      <c r="H124" s="57"/>
      <c r="I124" s="57"/>
    </row>
    <row r="125" spans="5:9" x14ac:dyDescent="0.3">
      <c r="F125" s="57"/>
      <c r="G125" s="57"/>
      <c r="H125" s="57"/>
      <c r="I125" s="57"/>
    </row>
    <row r="126" spans="5:9" x14ac:dyDescent="0.3">
      <c r="F126" s="57"/>
      <c r="G126" s="57"/>
    </row>
    <row r="127" spans="5:9" x14ac:dyDescent="0.3">
      <c r="F127" s="57"/>
      <c r="G127" s="57"/>
    </row>
    <row r="128" spans="5:9" x14ac:dyDescent="0.3">
      <c r="F128" s="57"/>
      <c r="G128" s="57"/>
    </row>
    <row r="129" spans="6:7" x14ac:dyDescent="0.3">
      <c r="F129" s="57"/>
      <c r="G129" s="57"/>
    </row>
    <row r="130" spans="6:7" x14ac:dyDescent="0.3">
      <c r="F130" s="57"/>
    </row>
  </sheetData>
  <dataConsolidate>
    <dataRefs count="22">
      <dataRef ref="D6:CV52" sheet="SEP 01"/>
      <dataRef ref="D6:CV52" sheet="SEP 02"/>
      <dataRef ref="D6:CV52" sheet="SEP 03"/>
      <dataRef ref="D6:CV52" sheet="SEP 04"/>
      <dataRef ref="D6:CV52" sheet="SEP 05"/>
      <dataRef ref="D6:CV52" sheet="SEP 08"/>
      <dataRef ref="D6:CV52" sheet="SEP 09"/>
      <dataRef ref="D6:CV52" sheet="SEP 10"/>
      <dataRef ref="D6:CV52" sheet="SEP 11"/>
      <dataRef ref="D6:CV52" sheet="SEP 12"/>
      <dataRef ref="D6:CV52" sheet="SEP 15"/>
      <dataRef ref="D6:CV52" sheet="SEP 16"/>
      <dataRef ref="D6:CV52" sheet="SEP 17"/>
      <dataRef ref="D6:CV52" sheet="SEP 18"/>
      <dataRef ref="D6:CV52" sheet="SEP 19"/>
      <dataRef ref="D6:CV52" sheet="SEP 22"/>
      <dataRef ref="D6:CV52" sheet="SEP 23"/>
      <dataRef ref="D6:CV52" sheet="SEP 24"/>
      <dataRef ref="D6:CV52" sheet="SEP 25"/>
      <dataRef ref="D6:CV52" sheet="SEP 26"/>
      <dataRef ref="D6:CV52" sheet="SEP 29"/>
      <dataRef ref="D6:CV52" sheet="SEP 30"/>
    </dataRefs>
  </dataConsolidate>
  <mergeCells count="18">
    <mergeCell ref="B69:B70"/>
    <mergeCell ref="B71:B72"/>
    <mergeCell ref="B74:B77"/>
    <mergeCell ref="B78:B79"/>
    <mergeCell ref="B80:B81"/>
    <mergeCell ref="B82:B84"/>
    <mergeCell ref="A30:A34"/>
    <mergeCell ref="A35:A39"/>
    <mergeCell ref="A40:A44"/>
    <mergeCell ref="A45:A53"/>
    <mergeCell ref="B61:B65"/>
    <mergeCell ref="B66:B68"/>
    <mergeCell ref="D1:BK1"/>
    <mergeCell ref="BL1:BN1"/>
    <mergeCell ref="BR1:CJ1"/>
    <mergeCell ref="CW2:CW4"/>
    <mergeCell ref="A5:A8"/>
    <mergeCell ref="A9:A2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SEP 01</vt:lpstr>
      <vt:lpstr>SEP 02</vt:lpstr>
      <vt:lpstr>SEP 03</vt:lpstr>
      <vt:lpstr>SEP 04</vt:lpstr>
      <vt:lpstr>SEP 05</vt:lpstr>
      <vt:lpstr>SEP 08</vt:lpstr>
      <vt:lpstr>SEP 09</vt:lpstr>
      <vt:lpstr>SEP 10</vt:lpstr>
      <vt:lpstr>SEP 11</vt:lpstr>
      <vt:lpstr>SEP 12</vt:lpstr>
      <vt:lpstr>SEP 15</vt:lpstr>
      <vt:lpstr>SEP 16</vt:lpstr>
      <vt:lpstr>SEP 17</vt:lpstr>
      <vt:lpstr>SEP 18</vt:lpstr>
      <vt:lpstr>SEP 19</vt:lpstr>
      <vt:lpstr>SEP 22</vt:lpstr>
      <vt:lpstr>SEP 23</vt:lpstr>
      <vt:lpstr>SEP 24</vt:lpstr>
      <vt:lpstr>SEP 25</vt:lpstr>
      <vt:lpstr>SEP 26</vt:lpstr>
      <vt:lpstr>SEP 29</vt:lpstr>
      <vt:lpstr>SEP 30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Salcedo Bermudez</dc:creator>
  <cp:lastModifiedBy>Carolina Salcedo Bermudez</cp:lastModifiedBy>
  <dcterms:created xsi:type="dcterms:W3CDTF">2025-09-01T12:08:08Z</dcterms:created>
  <dcterms:modified xsi:type="dcterms:W3CDTF">2025-10-09T21:15:39Z</dcterms:modified>
</cp:coreProperties>
</file>